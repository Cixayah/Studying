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el\Desktop\"/>
    </mc:Choice>
  </mc:AlternateContent>
  <bookViews>
    <workbookView xWindow="0" yWindow="0" windowWidth="20490" windowHeight="7050" activeTab="2"/>
  </bookViews>
  <sheets>
    <sheet name="Parceiros" sheetId="1" r:id="rId1"/>
    <sheet name="Contratos" sheetId="2" r:id="rId2"/>
    <sheet name="Cálculos Enviados" sheetId="3" r:id="rId3"/>
    <sheet name="Resumo" sheetId="5" r:id="rId4"/>
  </sheet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8" roundtripDataChecksum="3/V0vcp2q8Xs1+vHFfq/sJXW1YrvOWSXJl1vAZC9hgs="/>
    </ext>
  </extLst>
</workbook>
</file>

<file path=xl/calcChain.xml><?xml version="1.0" encoding="utf-8"?>
<calcChain xmlns="http://schemas.openxmlformats.org/spreadsheetml/2006/main">
  <c r="A138" i="3" l="1"/>
  <c r="J39" i="3" l="1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G20" i="3"/>
  <c r="G14" i="3"/>
  <c r="G18" i="3"/>
  <c r="G16" i="3"/>
  <c r="G8" i="3"/>
  <c r="G39" i="3"/>
  <c r="G12" i="3"/>
  <c r="G33" i="3"/>
  <c r="G2" i="3"/>
  <c r="G6" i="3"/>
  <c r="G4" i="3"/>
  <c r="G27" i="3"/>
  <c r="G37" i="3"/>
  <c r="G35" i="3"/>
  <c r="G21" i="3"/>
  <c r="G31" i="3"/>
  <c r="G29" i="3"/>
  <c r="G15" i="3"/>
  <c r="G25" i="3"/>
  <c r="G23" i="3"/>
  <c r="G34" i="3"/>
  <c r="G9" i="3"/>
  <c r="G19" i="3"/>
  <c r="G17" i="3"/>
  <c r="G10" i="3"/>
  <c r="G3" i="3"/>
  <c r="G13" i="3"/>
  <c r="G11" i="3"/>
  <c r="G5" i="3"/>
  <c r="G38" i="3"/>
  <c r="G7" i="3"/>
  <c r="G22" i="3"/>
  <c r="G32" i="3"/>
  <c r="G36" i="3"/>
  <c r="G26" i="3"/>
  <c r="G30" i="3"/>
  <c r="G28" i="3"/>
  <c r="G24" i="3"/>
  <c r="J138" i="3" l="1"/>
</calcChain>
</file>

<file path=xl/sharedStrings.xml><?xml version="1.0" encoding="utf-8"?>
<sst xmlns="http://schemas.openxmlformats.org/spreadsheetml/2006/main" count="688" uniqueCount="337">
  <si>
    <t>Nome Parceiro</t>
  </si>
  <si>
    <t>CPF</t>
  </si>
  <si>
    <t>Celular Contato/Whatsapp</t>
  </si>
  <si>
    <t>Outros Fones</t>
  </si>
  <si>
    <t>EMAIL</t>
  </si>
  <si>
    <t>Marcelo Vida Toda</t>
  </si>
  <si>
    <t>020.729.899-81</t>
  </si>
  <si>
    <t>14 99136-1026</t>
  </si>
  <si>
    <t>marcelowseibert@gmail.com</t>
  </si>
  <si>
    <t>Alexandre Mello</t>
  </si>
  <si>
    <t>949.757.369-34</t>
  </si>
  <si>
    <t>49 99107-1232</t>
  </si>
  <si>
    <t>alexandre_mello1@hotmail.com</t>
  </si>
  <si>
    <t>Juliana Faria</t>
  </si>
  <si>
    <t>230.482.188-07</t>
  </si>
  <si>
    <t>18 99681-6394</t>
  </si>
  <si>
    <t>juliana@rradvocacia.com</t>
  </si>
  <si>
    <t>Alex Borges</t>
  </si>
  <si>
    <t>18 99786-0033</t>
  </si>
  <si>
    <t>alex.abl@outlook.com</t>
  </si>
  <si>
    <t>Juliana Faria RR advocacia</t>
  </si>
  <si>
    <t>18- 99681-6394</t>
  </si>
  <si>
    <t>18- 99149-5411</t>
  </si>
  <si>
    <t>Leandro RR advocacia</t>
  </si>
  <si>
    <t>18- 99645-4246</t>
  </si>
  <si>
    <t>18- 3653- 7733</t>
  </si>
  <si>
    <t>leandro@rradvocacia.com</t>
  </si>
  <si>
    <t>Marcelo Slongo</t>
  </si>
  <si>
    <t>marceloslongoadv@hotmail.com</t>
  </si>
  <si>
    <t>Fernanda Bristot Correa</t>
  </si>
  <si>
    <t>047.226.089-89</t>
  </si>
  <si>
    <t>fernandacorrea_adv@hotmail.com</t>
  </si>
  <si>
    <t>Zé Maria</t>
  </si>
  <si>
    <t>Ação</t>
  </si>
  <si>
    <t>Acordo ADV/Parceiro (por escrito)</t>
  </si>
  <si>
    <t>Cliente</t>
  </si>
  <si>
    <t>CPF Cliente</t>
  </si>
  <si>
    <t>Data Envio Email</t>
  </si>
  <si>
    <t>Destinatário 1</t>
  </si>
  <si>
    <t>Destinatário 2</t>
  </si>
  <si>
    <t>Destinatário 3</t>
  </si>
  <si>
    <t>Parceria</t>
  </si>
  <si>
    <t>Chefe</t>
  </si>
  <si>
    <t>Data Retorno(Distribuição)</t>
  </si>
  <si>
    <t>O Que Retornou</t>
  </si>
  <si>
    <t>Oscar Vitorio Tretto</t>
  </si>
  <si>
    <t>247.512.780-53</t>
  </si>
  <si>
    <t>006.071.568-56</t>
  </si>
  <si>
    <t>5001399-63.2023.4.03.6107</t>
  </si>
  <si>
    <t>Neri Ribeiro Jovenal</t>
  </si>
  <si>
    <t>219.420.990-53</t>
  </si>
  <si>
    <t>059.567.368-60</t>
  </si>
  <si>
    <t>5001377-05.2023.4.03.6107</t>
  </si>
  <si>
    <t>Jose Carlos Gama</t>
  </si>
  <si>
    <t>804.728.698-68</t>
  </si>
  <si>
    <t>080.435.368-99</t>
  </si>
  <si>
    <t>5005172-26.2023.4.03.6331</t>
  </si>
  <si>
    <t>Mirto Barbeiro Marine</t>
  </si>
  <si>
    <t>704.619.708-30</t>
  </si>
  <si>
    <t>293.684.128-39</t>
  </si>
  <si>
    <t>5005072-71.2023.4.03.6331</t>
  </si>
  <si>
    <t>Fátima de Oliveira Rodrigues</t>
  </si>
  <si>
    <t>5001403-03.2023.4.03.6107</t>
  </si>
  <si>
    <t>Gilberto Moser</t>
  </si>
  <si>
    <t>256.826.280-04</t>
  </si>
  <si>
    <t>0001022-65.2005.4.03.6316</t>
  </si>
  <si>
    <t>JOSE APARECIDO MORAES</t>
  </si>
  <si>
    <t>5005199-09.2023.4.03.6331</t>
  </si>
  <si>
    <t>Cristiano Luiz Fagundes Mendonça</t>
  </si>
  <si>
    <t>621.121.120-15</t>
  </si>
  <si>
    <t>957.550.128-49</t>
  </si>
  <si>
    <t>5005207-83.2023.4.03.6331</t>
  </si>
  <si>
    <t>LADISLAU VALDECIR MARTINES</t>
  </si>
  <si>
    <t>966.072.978-20</t>
  </si>
  <si>
    <t>5002561-48.2023.4.03.6316</t>
  </si>
  <si>
    <t>LUCIMAR ANTUNES CUELLAS</t>
  </si>
  <si>
    <t>RAIMUNDO DA SILVA</t>
  </si>
  <si>
    <t>LUIZ AQUILES DAL FORNO</t>
  </si>
  <si>
    <t>173.703.610-04</t>
  </si>
  <si>
    <t>JOSE TAVARES</t>
  </si>
  <si>
    <t>MILQUIAS FIGUEIRA SILVA</t>
  </si>
  <si>
    <t>252.298.697-04</t>
  </si>
  <si>
    <t>NATALINO HORÁCIO BORGES</t>
  </si>
  <si>
    <t>464.437.200-59</t>
  </si>
  <si>
    <t>a3consultoria.contato@gmail.com</t>
  </si>
  <si>
    <t>Fernanda Correa</t>
  </si>
  <si>
    <t>Afonso Doering</t>
  </si>
  <si>
    <t>201.278.040-72</t>
  </si>
  <si>
    <t>Telma Elite Tente</t>
  </si>
  <si>
    <t>235.183.750-91</t>
  </si>
  <si>
    <t>Vilmar Klava</t>
  </si>
  <si>
    <t>934.776.198-20</t>
  </si>
  <si>
    <t>Ivo Dagios</t>
  </si>
  <si>
    <t>193.128.579-91</t>
  </si>
  <si>
    <t>Paulo Martins de Mello</t>
  </si>
  <si>
    <t>150.760.919-15</t>
  </si>
  <si>
    <t>Renato Bloncoski</t>
  </si>
  <si>
    <t>410.479.319-15</t>
  </si>
  <si>
    <t>Mario Bonadmann</t>
  </si>
  <si>
    <t>473.613.019-91</t>
  </si>
  <si>
    <t>José Luiz Rizzi</t>
  </si>
  <si>
    <t>166.140.030-20</t>
  </si>
  <si>
    <t>Carmen Holanda</t>
  </si>
  <si>
    <t>818.004.288-04</t>
  </si>
  <si>
    <t>Lotario Pereira dos Santos</t>
  </si>
  <si>
    <t>325.476.500-10</t>
  </si>
  <si>
    <t>Maria Salete Sander</t>
  </si>
  <si>
    <t>287.487.430-20</t>
  </si>
  <si>
    <t>Artidor Magalhães</t>
  </si>
  <si>
    <t>209.234.300-91</t>
  </si>
  <si>
    <t>Corinta Maria Teixeira Martins</t>
  </si>
  <si>
    <t>556.385.110-91</t>
  </si>
  <si>
    <t>Luiza Antonia Andrade Pasetti</t>
  </si>
  <si>
    <t>396.219.369-34</t>
  </si>
  <si>
    <t>Dejanira Gonçalves Lustosa</t>
  </si>
  <si>
    <t>518.589.249-87</t>
  </si>
  <si>
    <t>Fatima Noeli Ferreira</t>
  </si>
  <si>
    <t>508.438.859-04</t>
  </si>
  <si>
    <t>Romeu Kerber</t>
  </si>
  <si>
    <t>254.999.630-53</t>
  </si>
  <si>
    <t>Joel Antonio Rech Mattos</t>
  </si>
  <si>
    <t>194.073.190-91</t>
  </si>
  <si>
    <t>Joaquim Valdeci dos Santos</t>
  </si>
  <si>
    <t>614.560.710-68</t>
  </si>
  <si>
    <t>Jorge Tadeu da Silva</t>
  </si>
  <si>
    <t>200.420.940-20</t>
  </si>
  <si>
    <t>Antonio Carlos Carrao Longhi</t>
  </si>
  <si>
    <t>256.338.560-15</t>
  </si>
  <si>
    <t>Cirilo Biazussi</t>
  </si>
  <si>
    <t>212.982.039-53</t>
  </si>
  <si>
    <t>Mario José Moraes</t>
  </si>
  <si>
    <t>034.478.228-05</t>
  </si>
  <si>
    <t>ANESIO AUGUSTO DE OLIVEIRA</t>
  </si>
  <si>
    <t>969.590.968-04</t>
  </si>
  <si>
    <t>Rótulos de Linha</t>
  </si>
  <si>
    <t>Contagem de CPF Cliente</t>
  </si>
  <si>
    <t>Total Geral</t>
  </si>
  <si>
    <t>BRAULIO DOS SANTOS</t>
  </si>
  <si>
    <t>130.977.788-88</t>
  </si>
  <si>
    <t>M7 Assessoria</t>
  </si>
  <si>
    <t>LOURIVAL SANTOS LUZ</t>
  </si>
  <si>
    <t>543.586.048-20</t>
  </si>
  <si>
    <t>calculos@m7assessoria.com.br</t>
  </si>
  <si>
    <t xml:space="preserve">CARLOS ROBERTO DA SILVA </t>
  </si>
  <si>
    <t>802.730.418-00</t>
  </si>
  <si>
    <t>MARIA ZULMIRA DA CONCEIÇAO ANTONIO</t>
  </si>
  <si>
    <t>186.365.538-73</t>
  </si>
  <si>
    <t>ADEON RIBEIRO NIZA</t>
  </si>
  <si>
    <t>544.588.388-49</t>
  </si>
  <si>
    <t>NELSON DELMORE</t>
  </si>
  <si>
    <t>544.652.498-53</t>
  </si>
  <si>
    <t>JORGE OLIVEIRA DA SILVA</t>
  </si>
  <si>
    <t>957.550.988-91</t>
  </si>
  <si>
    <t>JAIR PENHA</t>
  </si>
  <si>
    <t>590.400.768-04</t>
  </si>
  <si>
    <t>ANTONIO MONTEIRO</t>
  </si>
  <si>
    <t>085.118.378-68</t>
  </si>
  <si>
    <t>ELIZABETH DE OLIVEIRA RATTIGUEL</t>
  </si>
  <si>
    <t>960.650.448-49</t>
  </si>
  <si>
    <t>ELIAS PERCONE TRINDADE</t>
  </si>
  <si>
    <t>289.011.429-53</t>
  </si>
  <si>
    <t>FREDY LAYDNER</t>
  </si>
  <si>
    <t>134.767.260-53</t>
  </si>
  <si>
    <t>DORVALINO MORAIS</t>
  </si>
  <si>
    <t>195.020.440-53</t>
  </si>
  <si>
    <t>IVO SETEMBRINO KICHEL</t>
  </si>
  <si>
    <t>213.699.259-72</t>
  </si>
  <si>
    <t>OTAVIO JANCKOWSKI</t>
  </si>
  <si>
    <t>244.380.069-53</t>
  </si>
  <si>
    <t>CARLOS DIAS DA SILVA</t>
  </si>
  <si>
    <t>241.761.929-68</t>
  </si>
  <si>
    <t>ANSELMO BEAL</t>
  </si>
  <si>
    <t>191.991.479-04</t>
  </si>
  <si>
    <t>ATANACIO DA AVILA DE SOUZA</t>
  </si>
  <si>
    <t>177.070.729-87</t>
  </si>
  <si>
    <t>SERGIO QUADROS DE PAULA</t>
  </si>
  <si>
    <t>251.774.940-04</t>
  </si>
  <si>
    <t>WALDIR REZER</t>
  </si>
  <si>
    <t>412.237.649-15</t>
  </si>
  <si>
    <t>LADAIR ANTONIO BRESOLIN</t>
  </si>
  <si>
    <t>220.827.519-53</t>
  </si>
  <si>
    <t>NERI ANTONIO SCHUSSLER</t>
  </si>
  <si>
    <t>193.296.369-34</t>
  </si>
  <si>
    <t>JOSE DORE GONSALVES</t>
  </si>
  <si>
    <t>435.189.749-04</t>
  </si>
  <si>
    <t>ELEODORIO JOSE KOZERSKI</t>
  </si>
  <si>
    <t>396.060.909-49</t>
  </si>
  <si>
    <t>JOVENCIO CARLOS DO PRADO DE QUADROS</t>
  </si>
  <si>
    <t>258.830.620-91</t>
  </si>
  <si>
    <t>Ivanilda Boldi</t>
  </si>
  <si>
    <t>159.636.912-49</t>
  </si>
  <si>
    <t>Marcelo</t>
  </si>
  <si>
    <t>Rradvocacia</t>
  </si>
  <si>
    <t>SERGIO RODRIGUES</t>
  </si>
  <si>
    <t>802.715.028-00</t>
  </si>
  <si>
    <t>JOAO FRANCISCO ROSIS</t>
  </si>
  <si>
    <t>023.560.998.67</t>
  </si>
  <si>
    <t>LINO DOMINGUES FILHO</t>
  </si>
  <si>
    <t>254.996.888-34</t>
  </si>
  <si>
    <t>SUELI APARECIDA DO PRADO GONÇALVES</t>
  </si>
  <si>
    <t>092.440.658-51</t>
  </si>
  <si>
    <t xml:space="preserve">	alex.abl@outlook.com</t>
  </si>
  <si>
    <t xml:space="preserve">DULCINEIA BARRETO BARBOSA </t>
  </si>
  <si>
    <t>004.954.278-88</t>
  </si>
  <si>
    <t xml:space="preserve">	calculos@m7assessoria.com.br</t>
  </si>
  <si>
    <t>ARISTIDES SIMOES DE SOUZA</t>
  </si>
  <si>
    <t>249.011.438-75</t>
  </si>
  <si>
    <t>JOSE MALAQUIAS</t>
  </si>
  <si>
    <t>363.775.548-34</t>
  </si>
  <si>
    <t>Marino Alves de Souza</t>
  </si>
  <si>
    <t xml:space="preserve"> 725.562.188-00</t>
  </si>
  <si>
    <t>Gilberto Macedo Borghetti</t>
  </si>
  <si>
    <t>095.104.780-91</t>
  </si>
  <si>
    <t>Paulo Roberto Perini</t>
  </si>
  <si>
    <t>117.755.050-49</t>
  </si>
  <si>
    <t>Irene Fatima de Campos Simon</t>
  </si>
  <si>
    <t>Wanderlei Malchow da Rosa</t>
  </si>
  <si>
    <t>245.798.580-34</t>
  </si>
  <si>
    <t>Baldiro Sanders dos Santos</t>
  </si>
  <si>
    <t>212.817.509-72</t>
  </si>
  <si>
    <t>Luiz Romario Lopes da Silva</t>
  </si>
  <si>
    <t>359.985.120-49</t>
  </si>
  <si>
    <t>Casemiro Rodrigues de Lima</t>
  </si>
  <si>
    <t>283.881.789-20</t>
  </si>
  <si>
    <t>Valmor de Souza</t>
  </si>
  <si>
    <t>394.846.969-53</t>
  </si>
  <si>
    <t>Alex Abl</t>
  </si>
  <si>
    <t>Antonio Soares</t>
  </si>
  <si>
    <t>410.479.909-20</t>
  </si>
  <si>
    <t>Irandi Ferreira</t>
  </si>
  <si>
    <t>873.870.698-91</t>
  </si>
  <si>
    <t>Antonia Rosa dos Santos Panini</t>
  </si>
  <si>
    <t>078.635.068-75</t>
  </si>
  <si>
    <t>Leonora Aparecida Ribeiro Soares</t>
  </si>
  <si>
    <t>061.661.908-16</t>
  </si>
  <si>
    <t>Nilton Ros Domenes</t>
  </si>
  <si>
    <t>710.091.758-15</t>
  </si>
  <si>
    <t>Jair Aparecido Basseto</t>
  </si>
  <si>
    <t>192.485.048-68</t>
  </si>
  <si>
    <t>Dilson Alves Coelho</t>
  </si>
  <si>
    <t>802.768.228-20</t>
  </si>
  <si>
    <t>Paulo Pereira Barbosa</t>
  </si>
  <si>
    <t>045.017.228-78</t>
  </si>
  <si>
    <t>Lourdes de Almeida Soares</t>
  </si>
  <si>
    <t>802.739.558-53</t>
  </si>
  <si>
    <t>Paulo Roberto Candido</t>
  </si>
  <si>
    <t>667.249.618-15</t>
  </si>
  <si>
    <t>Valdecir Marques Pinheiro</t>
  </si>
  <si>
    <t>826.702.008-00</t>
  </si>
  <si>
    <t>Geni Pereira Cardoso</t>
  </si>
  <si>
    <t>095.417.868-80</t>
  </si>
  <si>
    <t>Rute Furumi Matsuda</t>
  </si>
  <si>
    <t>006.232.278-86</t>
  </si>
  <si>
    <t>Joao Dionisio Santos</t>
  </si>
  <si>
    <t>023.683.248-44</t>
  </si>
  <si>
    <t>Regina Conceição Saqueto Del Col</t>
  </si>
  <si>
    <t>959.272.808-97</t>
  </si>
  <si>
    <t>Gilberto Portugal Rodrigues Filho</t>
  </si>
  <si>
    <t>718.193.808-82</t>
  </si>
  <si>
    <t>Marta Branco do Rosario de Oliveira</t>
  </si>
  <si>
    <t>829.194.708-25</t>
  </si>
  <si>
    <t>636.527.148-49</t>
  </si>
  <si>
    <t>Jethero de Faria Cardoso Junior</t>
  </si>
  <si>
    <t>792.701.588-53</t>
  </si>
  <si>
    <t>Elza Eliane Azuaga Areas</t>
  </si>
  <si>
    <t>Irineu de Araújo </t>
  </si>
  <si>
    <t>957.312.708-30</t>
  </si>
  <si>
    <t>Edevarde de Souza</t>
  </si>
  <si>
    <t>957.555.198-20</t>
  </si>
  <si>
    <t>Ermeto Heitor dos Santos Dornelles</t>
  </si>
  <si>
    <t>253.294.560-53</t>
  </si>
  <si>
    <t>Rui da Cunha Machado</t>
  </si>
  <si>
    <t>168.438.860-00</t>
  </si>
  <si>
    <t>Czeslaw Kasia</t>
  </si>
  <si>
    <t>226.393.301-87</t>
  </si>
  <si>
    <t>Jose Augusto Nascimento</t>
  </si>
  <si>
    <t>704.836.208-15</t>
  </si>
  <si>
    <t>Joao Machado</t>
  </si>
  <si>
    <t>803.943.028-34</t>
  </si>
  <si>
    <t>Luiz Paulo Finotti</t>
  </si>
  <si>
    <t>999.734.058-20</t>
  </si>
  <si>
    <t>Arlete de Oliveira Pereira</t>
  </si>
  <si>
    <t>023.815.978-75</t>
  </si>
  <si>
    <t>055.660.958-10</t>
  </si>
  <si>
    <t>Shirley Alves Siqueira</t>
  </si>
  <si>
    <t>Vera Lucia Bellazalma</t>
  </si>
  <si>
    <t>057.038.098-78</t>
  </si>
  <si>
    <t>Maria Aparecida Ribeiro</t>
  </si>
  <si>
    <t>023.596.478-65</t>
  </si>
  <si>
    <t>Irene Donazzolo</t>
  </si>
  <si>
    <t>469.867.150-72</t>
  </si>
  <si>
    <t>Francisco Luiz de Souza</t>
  </si>
  <si>
    <t>048.190.908-79</t>
  </si>
  <si>
    <t>Adao Jose Pires da Silva</t>
  </si>
  <si>
    <t>931.563.248-68</t>
  </si>
  <si>
    <t>Paulo Roberto Zambrota</t>
  </si>
  <si>
    <t>648.521.308-25</t>
  </si>
  <si>
    <t>Hugo Lopes de Moraes</t>
  </si>
  <si>
    <t>050.760.758-98</t>
  </si>
  <si>
    <t>Joao Roberto Alves da Silva</t>
  </si>
  <si>
    <t>771.111.258-00</t>
  </si>
  <si>
    <t>Geraldo Bezerra da Silva</t>
  </si>
  <si>
    <t>753.743.078-00</t>
  </si>
  <si>
    <t>958.936.878-68</t>
  </si>
  <si>
    <t>Antonio Messias de Carvalho</t>
  </si>
  <si>
    <t>Alan Martins de Sampaio</t>
  </si>
  <si>
    <t>749.634.498-20</t>
  </si>
  <si>
    <t>Sandra Maria de Camargo</t>
  </si>
  <si>
    <t>021.161.288-03</t>
  </si>
  <si>
    <t>Angela Aparecida de Almeida</t>
  </si>
  <si>
    <t>020.676.858-30</t>
  </si>
  <si>
    <t>Valter de Oliveira</t>
  </si>
  <si>
    <t>525.853.878-87</t>
  </si>
  <si>
    <t>Celso Roberto da Silveira</t>
  </si>
  <si>
    <t>465.173.678-53</t>
  </si>
  <si>
    <t>Maria Aparecida Pimentel Coelho</t>
  </si>
  <si>
    <t>158.057.058-50</t>
  </si>
  <si>
    <t>Maria Ramos Barbosa</t>
  </si>
  <si>
    <t>057.761.898-96</t>
  </si>
  <si>
    <t>Ivone Galleazzi Antoniolli</t>
  </si>
  <si>
    <t>938.904.789-72</t>
  </si>
  <si>
    <t>Manoel Assi</t>
  </si>
  <si>
    <t>700.499.808-82</t>
  </si>
  <si>
    <t>Denise Aparecida Pimenta de Moraes</t>
  </si>
  <si>
    <t>053.188.388-47</t>
  </si>
  <si>
    <t>Mary de Lourdes Felix dos Reis Maciel Sanchez</t>
  </si>
  <si>
    <t>905.909.708-44</t>
  </si>
  <si>
    <t>Maria Aparecida da Silva</t>
  </si>
  <si>
    <t>065.100.248-61</t>
  </si>
  <si>
    <t>José Virgilio Fexina</t>
  </si>
  <si>
    <t>578.804.178-34</t>
  </si>
  <si>
    <t>Marilena Rodrigues de Sousa e Souza</t>
  </si>
  <si>
    <t>277.832.448-82</t>
  </si>
  <si>
    <t>Angelo Mescolotto</t>
  </si>
  <si>
    <t>556.267.938-87</t>
  </si>
  <si>
    <t>Denize Pedrozo Bonilha</t>
  </si>
  <si>
    <t>030.803.858-45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</si>
</sst>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1"/>
      <color theme="1"/>
      <name val="Arial"/>
      <family val="2"/>
    </font>
    <font>
      <sz val="11"/>
      <color rgb="FF1F1F1F"/>
      <name val="Calibri"/>
      <family val="2"/>
      <scheme val="major"/>
    </font>
    <font>
      <sz val="11"/>
      <color rgb="FF222222"/>
      <name val="Calibri"/>
      <family val="2"/>
      <scheme val="maj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rgb="FF1F1F1F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NumberFormat="1" applyBorder="1"/>
    <xf numFmtId="0" fontId="0" fillId="0" borderId="4" xfId="0" applyNumberFormat="1" applyBorder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9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1" xfId="0" applyFont="1" applyFill="1" applyBorder="1" applyAlignment="1">
      <alignment horizontal="left"/>
    </xf>
    <xf numFmtId="3" fontId="9" fillId="0" borderId="0" xfId="0" applyNumberFormat="1" applyFont="1" applyAlignment="1">
      <alignment horizontal="left"/>
    </xf>
    <xf numFmtId="0" fontId="9" fillId="3" borderId="0" xfId="0" applyFont="1" applyFill="1" applyAlignment="1">
      <alignment horizontal="left"/>
    </xf>
    <xf numFmtId="0" fontId="7" fillId="0" borderId="0" xfId="0" applyFont="1" applyAlignment="1">
      <alignment horizontal="left" wrapText="1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7" fillId="0" borderId="0" xfId="0" applyFont="1"/>
    <xf numFmtId="0" fontId="9" fillId="0" borderId="1" xfId="0" applyFont="1" applyFill="1" applyBorder="1"/>
    <xf numFmtId="0" fontId="8" fillId="0" borderId="0" xfId="0" applyFo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aj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ajor"/>
      </font>
      <alignment horizontal="left" vertical="bottom" textRotation="0" indent="0" justifyLastLine="0" shrinkToFit="0" readingOrder="0"/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</dxfs>
  <tableStyles count="3">
    <tableStyle name="Parceiros-style" pivot="0" count="3">
      <tableStyleElement type="headerRow" dxfId="32"/>
      <tableStyleElement type="firstRowStripe" dxfId="31"/>
      <tableStyleElement type="secondRowStripe" dxfId="30"/>
    </tableStyle>
    <tableStyle name="Contratos-style" pivot="0" count="3">
      <tableStyleElement type="headerRow" dxfId="29"/>
      <tableStyleElement type="firstRowStripe" dxfId="28"/>
      <tableStyleElement type="secondRowStripe" dxfId="27"/>
    </tableStyle>
    <tableStyle name="Cálculos Enviados-style" pivot="0" count="4">
      <tableStyleElement type="headerRow" dxfId="26"/>
      <tableStyleElement type="total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[VidaToda_21-11-2023.xlsx]Resumo!Tabela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Resumo!$A$4:$A$11</c:f>
              <c:strCache>
                <c:ptCount val="7"/>
                <c:pt idx="0">
                  <c:v>Alex Borges</c:v>
                </c:pt>
                <c:pt idx="1">
                  <c:v>Alexandre Mello</c:v>
                </c:pt>
                <c:pt idx="2">
                  <c:v>Fernanda Correa</c:v>
                </c:pt>
                <c:pt idx="3">
                  <c:v>M7 Assessoria</c:v>
                </c:pt>
                <c:pt idx="4">
                  <c:v>Zé Maria</c:v>
                </c:pt>
                <c:pt idx="5">
                  <c:v>Marcelo</c:v>
                </c:pt>
                <c:pt idx="6">
                  <c:v>Rradvocacia</c:v>
                </c:pt>
              </c:strCache>
            </c:strRef>
          </c:cat>
          <c:val>
            <c:numRef>
              <c:f>Resumo!$B$4:$B$11</c:f>
              <c:numCache>
                <c:formatCode>General</c:formatCode>
                <c:ptCount val="7"/>
                <c:pt idx="0">
                  <c:v>2</c:v>
                </c:pt>
                <c:pt idx="1">
                  <c:v>25</c:v>
                </c:pt>
                <c:pt idx="2">
                  <c:v>1</c:v>
                </c:pt>
                <c:pt idx="3">
                  <c:v>25</c:v>
                </c:pt>
                <c:pt idx="4">
                  <c:v>6</c:v>
                </c:pt>
                <c:pt idx="5">
                  <c:v>5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4-4FA3-BE1A-EC09ABB10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986528"/>
        <c:axId val="698986888"/>
      </c:barChart>
      <c:catAx>
        <c:axId val="69898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8986888"/>
        <c:crosses val="autoZero"/>
        <c:auto val="1"/>
        <c:lblAlgn val="ctr"/>
        <c:lblOffset val="100"/>
        <c:noMultiLvlLbl val="0"/>
      </c:catAx>
      <c:valAx>
        <c:axId val="698986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898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1</xdr:row>
      <xdr:rowOff>166687</xdr:rowOff>
    </xdr:from>
    <xdr:to>
      <xdr:col>10</xdr:col>
      <xdr:colOff>0</xdr:colOff>
      <xdr:row>16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F0AEB9-F29C-7023-1147-8621F3551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hiago" refreshedDate="45124.667408564812" createdVersion="8" refreshedVersion="8" minRefreshableVersion="3" recordCount="65">
  <cacheSource type="worksheet">
    <worksheetSource name="Table_3"/>
  </cacheSource>
  <cacheFields count="10">
    <cacheField name="Cliente" numFmtId="0">
      <sharedItems/>
    </cacheField>
    <cacheField name="CPF Cliente" numFmtId="0">
      <sharedItems count="65">
        <s v="247.512.780-53"/>
        <s v="219.420.990-53"/>
        <s v="804.728.698-68"/>
        <s v="704.619.708-30"/>
        <s v="293.684.128-39"/>
        <s v="256.826.280-04"/>
        <s v="059.567.368-60"/>
        <s v="621.121.120-15"/>
        <s v="957.550.128-49"/>
        <s v="006.071.568-56"/>
        <s v="080.435.368-99"/>
        <s v="173.703.610-04"/>
        <s v="966.072.978-20"/>
        <s v="252.298.697-04"/>
        <s v="464.437.200-59"/>
        <s v="201.278.040-72"/>
        <s v="235.183.750-91"/>
        <s v="934.776.198-20"/>
        <s v="193.128.579-91"/>
        <s v="150.760.919-15"/>
        <s v="410.479.319-15"/>
        <s v="473.613.019-91"/>
        <s v="166.140.030-20"/>
        <s v="818.004.288-04"/>
        <s v="325.476.500-10"/>
        <s v="287.487.430-20"/>
        <s v="209.234.300-91"/>
        <s v="556.385.110-91"/>
        <s v="396.219.369-34"/>
        <s v="518.589.249-87"/>
        <s v="508.438.859-04"/>
        <s v="254.999.630-53"/>
        <s v="194.073.190-91"/>
        <s v="614.560.710-68"/>
        <s v="200.420.940-20"/>
        <s v="256.338.560-15"/>
        <s v="212.982.039-53"/>
        <s v="034.478.228-05"/>
        <s v="969.590.968-04"/>
        <s v="130.977.788-88"/>
        <s v="543.586.048-20"/>
        <s v="802.730.418-00"/>
        <s v="186.365.538-73"/>
        <s v="544.588.388-49"/>
        <s v="544.652.498-53"/>
        <s v="957.550.988-91"/>
        <s v="590.400.768-04"/>
        <s v="085.118.378-68"/>
        <s v="960.650.448-49"/>
        <s v="289.011.429-53"/>
        <s v="134.767.260-53"/>
        <s v="195.020.440-53"/>
        <s v="213.699.259-72"/>
        <s v="244.380.069-53"/>
        <s v="241.761.929-68"/>
        <s v="191.991.479-04"/>
        <s v="177.070.729-87"/>
        <s v="251.774.940-04"/>
        <s v="412.237.649-15"/>
        <s v="220.827.519-53"/>
        <s v="193.296.369-34"/>
        <s v="435.189.749-04"/>
        <s v="396.060.909-49"/>
        <s v="258.830.620-91"/>
        <s v="159.636.912-49"/>
      </sharedItems>
    </cacheField>
    <cacheField name="Data Envio Email" numFmtId="14">
      <sharedItems containsSemiMixedTypes="0" containsNonDate="0" containsDate="1" containsString="0" minDate="2023-05-25T00:00:00" maxDate="2023-07-15T00:00:00"/>
    </cacheField>
    <cacheField name="Destinatário 1" numFmtId="0">
      <sharedItems/>
    </cacheField>
    <cacheField name="Destinatário 2" numFmtId="0">
      <sharedItems containsBlank="1"/>
    </cacheField>
    <cacheField name="Destinatário 3" numFmtId="0">
      <sharedItems containsBlank="1"/>
    </cacheField>
    <cacheField name="Parceria" numFmtId="0">
      <sharedItems containsBlank="1"/>
    </cacheField>
    <cacheField name="Chefe" numFmtId="0">
      <sharedItems containsBlank="1" count="8">
        <s v="Alexandre Mello"/>
        <s v="Marcelo"/>
        <s v="Alex Borges"/>
        <s v="Zé Maria"/>
        <s v="Rradvocacia"/>
        <s v="Fernanda Correa"/>
        <s v="M7 Assessoria"/>
        <m u="1"/>
      </sharedItems>
    </cacheField>
    <cacheField name="Data Retorno(Distribuição)" numFmtId="0">
      <sharedItems containsNonDate="0" containsDate="1" containsString="0" containsBlank="1" minDate="2023-05-30T00:00:00" maxDate="2023-06-13T00:00:00"/>
    </cacheField>
    <cacheField name="O Que Retornou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Oscar Vitorio Tretto"/>
    <x v="0"/>
    <d v="2023-05-26T00:00:00"/>
    <s v="alexandre_mello1@hotmail.com"/>
    <m/>
    <m/>
    <e v="#NAME?"/>
    <x v="0"/>
    <m/>
    <e v="#N/A"/>
  </r>
  <r>
    <s v="Neri Ribeiro Jovenal"/>
    <x v="1"/>
    <d v="2023-05-26T00:00:00"/>
    <s v="alexandre_mello1@hotmail.com"/>
    <m/>
    <m/>
    <e v="#NAME?"/>
    <x v="0"/>
    <m/>
    <e v="#N/A"/>
  </r>
  <r>
    <s v="Jose Carlos Gama"/>
    <x v="2"/>
    <d v="2023-05-25T00:00:00"/>
    <s v="marcelowseibert@gmail.com"/>
    <m/>
    <m/>
    <e v="#NAME?"/>
    <x v="1"/>
    <d v="2023-06-07T00:00:00"/>
    <s v="804.728.698-68"/>
  </r>
  <r>
    <s v="Mirto Barbeiro Marine"/>
    <x v="3"/>
    <d v="2023-05-25T00:00:00"/>
    <s v="marcelowseibert@gmail.com"/>
    <m/>
    <m/>
    <e v="#NAME?"/>
    <x v="1"/>
    <d v="2023-06-06T00:00:00"/>
    <s v="704.619.708-30"/>
  </r>
  <r>
    <s v="Fátima de Oliveira Rodrigues"/>
    <x v="4"/>
    <d v="2023-05-25T00:00:00"/>
    <s v="alex.abl@outlook.com"/>
    <m/>
    <m/>
    <e v="#NAME?"/>
    <x v="2"/>
    <d v="2023-05-30T00:00:00"/>
    <s v="293.684.128-39"/>
  </r>
  <r>
    <s v="Gilberto Moser"/>
    <x v="5"/>
    <d v="2023-05-25T00:00:00"/>
    <s v="marcelowseibert@gmail.com"/>
    <s v="alexandre_mello1@hotmail.com"/>
    <m/>
    <e v="#NAME?"/>
    <x v="0"/>
    <m/>
    <e v="#N/A"/>
  </r>
  <r>
    <s v="JOSE APARECIDO MORAES"/>
    <x v="6"/>
    <d v="2023-06-02T00:00:00"/>
    <s v="marcelowseibert@gmail.com"/>
    <s v="juliana@rradvocacia.com"/>
    <s v="leandro@rradvocacia.com"/>
    <e v="#NAME?"/>
    <x v="3"/>
    <d v="2023-06-05T00:00:00"/>
    <s v="059.567.368-60"/>
  </r>
  <r>
    <s v="Cristiano Luiz Fagundes Mendonça"/>
    <x v="7"/>
    <d v="2023-06-02T00:00:00"/>
    <s v="marcelowseibert@gmail.com"/>
    <s v="alexandre_mello1@hotmail.com"/>
    <m/>
    <e v="#NAME?"/>
    <x v="0"/>
    <m/>
    <e v="#N/A"/>
  </r>
  <r>
    <s v="LADISLAU VALDECIR MARTINES"/>
    <x v="8"/>
    <d v="2023-06-02T00:00:00"/>
    <s v="marcelowseibert@gmail.com"/>
    <s v="juliana@rradvocacia.com"/>
    <s v="leandro@rradvocacia.com"/>
    <e v="#NAME?"/>
    <x v="3"/>
    <d v="2023-06-07T00:00:00"/>
    <s v="957.550.128-49"/>
  </r>
  <r>
    <s v="LUCIMAR ANTUNES CUELLAS"/>
    <x v="9"/>
    <d v="2023-06-02T00:00:00"/>
    <s v="marcelowseibert@gmail.com"/>
    <s v="juliana@rradvocacia.com"/>
    <s v="leandro@rradvocacia.com"/>
    <e v="#NAME?"/>
    <x v="3"/>
    <d v="2023-06-05T00:00:00"/>
    <s v="006.071.568-56"/>
  </r>
  <r>
    <s v="RAIMUNDO DA SILVA"/>
    <x v="10"/>
    <d v="2023-06-02T00:00:00"/>
    <s v="marcelowseibert@gmail.com"/>
    <s v="juliana@rradvocacia.com"/>
    <s v="leandro@rradvocacia.com"/>
    <e v="#NAME?"/>
    <x v="3"/>
    <d v="2023-06-05T00:00:00"/>
    <s v="080.435.368-99"/>
  </r>
  <r>
    <s v="LUIZ AQUILES DAL FORNO"/>
    <x v="11"/>
    <d v="2023-06-06T00:00:00"/>
    <s v="marcelowseibert@gmail.com"/>
    <s v="marceloslongoadv@hotmail.com"/>
    <m/>
    <e v="#NAME?"/>
    <x v="4"/>
    <m/>
    <e v="#N/A"/>
  </r>
  <r>
    <s v="JOSE TAVARES"/>
    <x v="12"/>
    <d v="2023-06-07T00:00:00"/>
    <s v="marcelowseibert@gmail.com"/>
    <s v="juliana@rradvocacia.com"/>
    <s v="leandro@rradvocacia.com"/>
    <e v="#NAME?"/>
    <x v="3"/>
    <d v="2023-06-12T00:00:00"/>
    <s v="966.072.978-20"/>
  </r>
  <r>
    <s v="MILQUIAS FIGUEIRA SILVA"/>
    <x v="13"/>
    <d v="2023-06-07T00:00:00"/>
    <s v="marcelowseibert@gmail.com"/>
    <s v="juliana@rradvocacia.com"/>
    <s v="leandro@rradvocacia.com"/>
    <e v="#NAME?"/>
    <x v="3"/>
    <m/>
    <e v="#N/A"/>
  </r>
  <r>
    <s v="NATALINO HORÁCIO BORGES"/>
    <x v="14"/>
    <d v="2023-06-07T00:00:00"/>
    <s v="marcelowseibert@gmail.com"/>
    <s v="fernandacorrea_adv@hotmail.com"/>
    <s v="a3consultoria.contato@gmail.com"/>
    <e v="#NAME?"/>
    <x v="5"/>
    <m/>
    <e v="#N/A"/>
  </r>
  <r>
    <s v="Afonso Doering"/>
    <x v="15"/>
    <d v="2023-06-07T00:00:00"/>
    <s v="marcelowseibert@gmail.com"/>
    <s v="alexandre_mello1@hotmail.com"/>
    <m/>
    <e v="#NAME?"/>
    <x v="0"/>
    <m/>
    <e v="#N/A"/>
  </r>
  <r>
    <s v="Telma Elite Tente"/>
    <x v="16"/>
    <d v="2023-06-07T00:00:00"/>
    <s v="marcelowseibert@gmail.com"/>
    <m/>
    <m/>
    <e v="#NAME?"/>
    <x v="1"/>
    <m/>
    <e v="#N/A"/>
  </r>
  <r>
    <s v="Vilmar Klava"/>
    <x v="17"/>
    <d v="2023-06-07T00:00:00"/>
    <s v="marcelowseibert@gmail.com"/>
    <s v="alexandre_mello1@hotmail.com"/>
    <m/>
    <e v="#NAME?"/>
    <x v="0"/>
    <m/>
    <e v="#N/A"/>
  </r>
  <r>
    <s v="Ivo Dagios"/>
    <x v="18"/>
    <d v="2023-06-07T00:00:00"/>
    <s v="marcelowseibert@gmail.com"/>
    <s v="alexandre_mello1@hotmail.com"/>
    <m/>
    <e v="#NAME?"/>
    <x v="0"/>
    <m/>
    <e v="#N/A"/>
  </r>
  <r>
    <s v="Paulo Martins de Mello"/>
    <x v="19"/>
    <d v="2023-06-07T00:00:00"/>
    <s v="marcelowseibert@gmail.com"/>
    <s v="alexandre_mello1@hotmail.com"/>
    <m/>
    <e v="#NAME?"/>
    <x v="0"/>
    <m/>
    <e v="#N/A"/>
  </r>
  <r>
    <s v="Renato Bloncoski"/>
    <x v="20"/>
    <d v="2023-06-07T00:00:00"/>
    <s v="marcelowseibert@gmail.com"/>
    <s v="alexandre_mello1@hotmail.com"/>
    <m/>
    <e v="#NAME?"/>
    <x v="0"/>
    <m/>
    <e v="#N/A"/>
  </r>
  <r>
    <s v="Mario Bonadmann"/>
    <x v="21"/>
    <d v="2023-06-07T00:00:00"/>
    <s v="marcelowseibert@gmail.com"/>
    <s v="alexandre_mello1@hotmail.com"/>
    <m/>
    <e v="#NAME?"/>
    <x v="0"/>
    <m/>
    <e v="#N/A"/>
  </r>
  <r>
    <s v="José Luiz Rizzi"/>
    <x v="22"/>
    <d v="2023-06-09T00:00:00"/>
    <s v="marcelowseibert@gmail.com"/>
    <s v="alexandre_mello1@hotmail.com"/>
    <m/>
    <e v="#NAME?"/>
    <x v="0"/>
    <m/>
    <e v="#N/A"/>
  </r>
  <r>
    <s v="Carmen Holanda"/>
    <x v="23"/>
    <d v="2023-06-09T00:00:00"/>
    <s v="marcelowseibert@gmail.com"/>
    <s v="alexandre_mello1@hotmail.com"/>
    <m/>
    <e v="#NAME?"/>
    <x v="0"/>
    <m/>
    <e v="#N/A"/>
  </r>
  <r>
    <s v="Lotario Pereira dos Santos"/>
    <x v="24"/>
    <d v="2023-06-09T00:00:00"/>
    <s v="marcelowseibert@gmail.com"/>
    <s v="alexandre_mello1@hotmail.com"/>
    <m/>
    <e v="#NAME?"/>
    <x v="0"/>
    <m/>
    <e v="#N/A"/>
  </r>
  <r>
    <s v="Maria Salete Sander"/>
    <x v="25"/>
    <d v="2023-06-09T00:00:00"/>
    <s v="marcelowseibert@gmail.com"/>
    <s v="alexandre_mello1@hotmail.com"/>
    <m/>
    <e v="#NAME?"/>
    <x v="0"/>
    <m/>
    <e v="#N/A"/>
  </r>
  <r>
    <s v="Artidor Magalhães"/>
    <x v="26"/>
    <d v="2023-06-09T00:00:00"/>
    <s v="marcelowseibert@gmail.com"/>
    <s v="alexandre_mello1@hotmail.com"/>
    <m/>
    <e v="#NAME?"/>
    <x v="0"/>
    <m/>
    <e v="#N/A"/>
  </r>
  <r>
    <s v="Corinta Maria Teixeira Martins"/>
    <x v="27"/>
    <d v="2023-06-14T00:00:00"/>
    <s v="alexandre_mello1@hotmail.com"/>
    <m/>
    <m/>
    <e v="#NAME?"/>
    <x v="0"/>
    <m/>
    <e v="#N/A"/>
  </r>
  <r>
    <s v="Luiza Antonia Andrade Pasetti"/>
    <x v="28"/>
    <d v="2023-06-15T00:00:00"/>
    <s v="alexandre_mello1@hotmail.com"/>
    <m/>
    <m/>
    <e v="#NAME?"/>
    <x v="0"/>
    <m/>
    <e v="#N/A"/>
  </r>
  <r>
    <s v="Dejanira Gonçalves Lustosa"/>
    <x v="29"/>
    <d v="2023-06-26T00:00:00"/>
    <s v="marcelowseibert@gmail.com"/>
    <s v="alexandre_mello1@hotmail.com"/>
    <m/>
    <e v="#NAME?"/>
    <x v="0"/>
    <m/>
    <e v="#N/A"/>
  </r>
  <r>
    <s v="Fatima Noeli Ferreira"/>
    <x v="30"/>
    <d v="2023-06-26T00:00:00"/>
    <s v="marcelowseibert@gmail.com"/>
    <s v="alexandre_mello1@hotmail.com"/>
    <m/>
    <e v="#NAME?"/>
    <x v="0"/>
    <m/>
    <e v="#N/A"/>
  </r>
  <r>
    <s v="Romeu Kerber"/>
    <x v="31"/>
    <d v="2023-06-26T00:00:00"/>
    <s v="marcelowseibert@gmail.com"/>
    <s v="alexandre_mello1@hotmail.com"/>
    <m/>
    <e v="#NAME?"/>
    <x v="0"/>
    <m/>
    <e v="#N/A"/>
  </r>
  <r>
    <s v="Joel Antonio Rech Mattos"/>
    <x v="32"/>
    <d v="2023-06-26T00:00:00"/>
    <s v="marcelowseibert@gmail.com"/>
    <s v="alexandre_mello1@hotmail.com"/>
    <m/>
    <e v="#NAME?"/>
    <x v="0"/>
    <m/>
    <e v="#N/A"/>
  </r>
  <r>
    <s v="Joaquim Valdeci dos Santos"/>
    <x v="33"/>
    <d v="2023-06-26T00:00:00"/>
    <s v="marcelowseibert@gmail.com"/>
    <s v="alexandre_mello1@hotmail.com"/>
    <m/>
    <e v="#NAME?"/>
    <x v="0"/>
    <m/>
    <e v="#N/A"/>
  </r>
  <r>
    <s v="Jorge Tadeu da Silva"/>
    <x v="34"/>
    <d v="2023-06-26T00:00:00"/>
    <s v="marcelowseibert@gmail.com"/>
    <s v="alexandre_mello1@hotmail.com"/>
    <m/>
    <e v="#NAME?"/>
    <x v="0"/>
    <m/>
    <e v="#N/A"/>
  </r>
  <r>
    <s v="Antonio Carlos Carrao Longhi"/>
    <x v="35"/>
    <d v="2023-06-26T00:00:00"/>
    <s v="marcelowseibert@gmail.com"/>
    <s v="alexandre_mello1@hotmail.com"/>
    <m/>
    <e v="#NAME?"/>
    <x v="0"/>
    <m/>
    <e v="#N/A"/>
  </r>
  <r>
    <s v="Cirilo Biazussi"/>
    <x v="36"/>
    <d v="2023-07-03T00:00:00"/>
    <s v="marcelowseibert@gmail.com"/>
    <m/>
    <m/>
    <e v="#NAME?"/>
    <x v="1"/>
    <m/>
    <e v="#N/A"/>
  </r>
  <r>
    <s v="Mario José Moraes"/>
    <x v="37"/>
    <d v="2023-07-03T00:00:00"/>
    <s v="marcelowseibert@gmail.com"/>
    <m/>
    <m/>
    <e v="#NAME?"/>
    <x v="1"/>
    <m/>
    <e v="#N/A"/>
  </r>
  <r>
    <s v="ANESIO AUGUSTO DE OLIVEIRA"/>
    <x v="38"/>
    <d v="2023-07-13T00:00:00"/>
    <s v="alex.abl@outlook.com"/>
    <m/>
    <m/>
    <m/>
    <x v="2"/>
    <m/>
    <m/>
  </r>
  <r>
    <s v="BRAULIO DOS SANTOS"/>
    <x v="39"/>
    <d v="2023-07-13T00:00:00"/>
    <s v="calculos@m7assessoria.com.br"/>
    <m/>
    <m/>
    <m/>
    <x v="6"/>
    <m/>
    <m/>
  </r>
  <r>
    <s v="LOURIVAL SANTOS LUZ"/>
    <x v="40"/>
    <d v="2023-07-13T00:00:00"/>
    <s v="calculos@m7assessoria.com.br"/>
    <m/>
    <m/>
    <m/>
    <x v="6"/>
    <m/>
    <m/>
  </r>
  <r>
    <s v="CARLOS ROBERTO DA SILVA "/>
    <x v="41"/>
    <d v="2023-07-13T00:00:00"/>
    <s v="calculos@m7assessoria.com.br"/>
    <m/>
    <m/>
    <m/>
    <x v="6"/>
    <m/>
    <m/>
  </r>
  <r>
    <s v="MARIA ZULMIRA DA CONCEIÇAO ANTONIO"/>
    <x v="42"/>
    <d v="2023-07-13T00:00:00"/>
    <s v="calculos@m7assessoria.com.br"/>
    <m/>
    <m/>
    <m/>
    <x v="6"/>
    <m/>
    <m/>
  </r>
  <r>
    <s v="ADEON RIBEIRO NIZA"/>
    <x v="43"/>
    <d v="2023-07-13T00:00:00"/>
    <s v="calculos@m7assessoria.com.br"/>
    <m/>
    <m/>
    <m/>
    <x v="6"/>
    <m/>
    <m/>
  </r>
  <r>
    <s v="NELSON DELMORE"/>
    <x v="44"/>
    <d v="2023-07-13T00:00:00"/>
    <s v="calculos@m7assessoria.com.br"/>
    <m/>
    <m/>
    <m/>
    <x v="6"/>
    <m/>
    <m/>
  </r>
  <r>
    <s v="JORGE OLIVEIRA DA SILVA"/>
    <x v="45"/>
    <d v="2023-07-13T00:00:00"/>
    <s v="calculos@m7assessoria.com.br"/>
    <m/>
    <m/>
    <m/>
    <x v="6"/>
    <m/>
    <m/>
  </r>
  <r>
    <s v="JAIR PENHA"/>
    <x v="46"/>
    <d v="2023-07-14T00:00:00"/>
    <s v="calculos@m7assessoria.com.br"/>
    <m/>
    <m/>
    <m/>
    <x v="6"/>
    <m/>
    <m/>
  </r>
  <r>
    <s v="ANTONIO MONTEIRO"/>
    <x v="47"/>
    <d v="2023-07-14T00:00:00"/>
    <s v="calculos@m7assessoria.com.br"/>
    <m/>
    <m/>
    <m/>
    <x v="6"/>
    <m/>
    <m/>
  </r>
  <r>
    <s v="ELIZABETH DE OLIVEIRA RATTIGUEL"/>
    <x v="48"/>
    <d v="2023-07-14T00:00:00"/>
    <s v="calculos@m7assessoria.com.br"/>
    <m/>
    <m/>
    <m/>
    <x v="6"/>
    <m/>
    <m/>
  </r>
  <r>
    <s v="ELIAS PERCONE TRINDADE"/>
    <x v="49"/>
    <d v="2023-07-14T00:00:00"/>
    <s v="calculos@m7assessoria.com.br"/>
    <m/>
    <m/>
    <m/>
    <x v="6"/>
    <m/>
    <m/>
  </r>
  <r>
    <s v="FREDY LAYDNER"/>
    <x v="50"/>
    <d v="2023-07-14T00:00:00"/>
    <s v="calculos@m7assessoria.com.br"/>
    <m/>
    <m/>
    <m/>
    <x v="6"/>
    <m/>
    <m/>
  </r>
  <r>
    <s v="DORVALINO MORAIS"/>
    <x v="51"/>
    <d v="2023-07-14T00:00:00"/>
    <s v="calculos@m7assessoria.com.br"/>
    <m/>
    <m/>
    <m/>
    <x v="6"/>
    <m/>
    <m/>
  </r>
  <r>
    <s v="IVO SETEMBRINO KICHEL"/>
    <x v="52"/>
    <d v="2023-07-14T00:00:00"/>
    <s v="calculos@m7assessoria.com.br"/>
    <m/>
    <m/>
    <m/>
    <x v="6"/>
    <m/>
    <m/>
  </r>
  <r>
    <s v="OTAVIO JANCKOWSKI"/>
    <x v="53"/>
    <d v="2023-07-14T00:00:00"/>
    <s v="calculos@m7assessoria.com.br"/>
    <m/>
    <m/>
    <m/>
    <x v="6"/>
    <m/>
    <m/>
  </r>
  <r>
    <s v="CARLOS DIAS DA SILVA"/>
    <x v="54"/>
    <d v="2023-07-14T00:00:00"/>
    <s v="calculos@m7assessoria.com.br"/>
    <m/>
    <m/>
    <m/>
    <x v="6"/>
    <m/>
    <m/>
  </r>
  <r>
    <s v="ANSELMO BEAL"/>
    <x v="55"/>
    <d v="2023-07-14T00:00:00"/>
    <s v="calculos@m7assessoria.com.br"/>
    <m/>
    <m/>
    <m/>
    <x v="6"/>
    <m/>
    <m/>
  </r>
  <r>
    <s v="ATANACIO DA AVILA DE SOUZA"/>
    <x v="56"/>
    <d v="2023-07-14T00:00:00"/>
    <s v="calculos@m7assessoria.com.br"/>
    <m/>
    <m/>
    <m/>
    <x v="6"/>
    <m/>
    <m/>
  </r>
  <r>
    <s v="SERGIO QUADROS DE PAULA"/>
    <x v="57"/>
    <d v="2023-07-14T00:00:00"/>
    <s v="calculos@m7assessoria.com.br"/>
    <m/>
    <m/>
    <m/>
    <x v="6"/>
    <m/>
    <m/>
  </r>
  <r>
    <s v="WALDIR REZER"/>
    <x v="58"/>
    <d v="2023-07-14T00:00:00"/>
    <s v="calculos@m7assessoria.com.br"/>
    <m/>
    <m/>
    <m/>
    <x v="6"/>
    <m/>
    <m/>
  </r>
  <r>
    <s v="LADAIR ANTONIO BRESOLIN"/>
    <x v="59"/>
    <d v="2023-07-14T00:00:00"/>
    <s v="calculos@m7assessoria.com.br"/>
    <m/>
    <m/>
    <m/>
    <x v="6"/>
    <m/>
    <m/>
  </r>
  <r>
    <s v="NERI ANTONIO SCHUSSLER"/>
    <x v="60"/>
    <d v="2023-07-14T00:00:00"/>
    <s v="calculos@m7assessoria.com.br"/>
    <m/>
    <m/>
    <m/>
    <x v="6"/>
    <m/>
    <m/>
  </r>
  <r>
    <s v="JOSE DORE GONSALVES"/>
    <x v="61"/>
    <d v="2023-07-14T00:00:00"/>
    <s v="calculos@m7assessoria.com.br"/>
    <m/>
    <m/>
    <m/>
    <x v="6"/>
    <m/>
    <m/>
  </r>
  <r>
    <s v="ELEODORIO JOSE KOZERSKI"/>
    <x v="62"/>
    <d v="2023-07-14T00:00:00"/>
    <s v="calculos@m7assessoria.com.br"/>
    <m/>
    <m/>
    <m/>
    <x v="6"/>
    <m/>
    <m/>
  </r>
  <r>
    <s v="JOVENCIO CARLOS DO PRADO DE QUADROS"/>
    <x v="63"/>
    <d v="2023-07-14T00:00:00"/>
    <s v="calculos@m7assessoria.com.br"/>
    <m/>
    <m/>
    <m/>
    <x v="6"/>
    <m/>
    <m/>
  </r>
  <r>
    <s v="Ivanilda Boldi"/>
    <x v="64"/>
    <d v="2023-07-14T00:00:00"/>
    <s v="marcelowseibert@gmail.com"/>
    <s v="alexandre_mello1@hotmail.com"/>
    <m/>
    <m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0">
    <pivotField showAll="0"/>
    <pivotField axis="axisRow" dataField="1" showAll="0">
      <items count="66">
        <item x="9"/>
        <item x="37"/>
        <item x="6"/>
        <item x="10"/>
        <item x="47"/>
        <item x="39"/>
        <item x="50"/>
        <item x="19"/>
        <item x="64"/>
        <item x="22"/>
        <item x="11"/>
        <item x="56"/>
        <item x="42"/>
        <item x="55"/>
        <item x="18"/>
        <item x="60"/>
        <item x="32"/>
        <item x="51"/>
        <item x="34"/>
        <item x="15"/>
        <item x="26"/>
        <item x="36"/>
        <item x="52"/>
        <item x="1"/>
        <item x="59"/>
        <item x="16"/>
        <item x="54"/>
        <item x="53"/>
        <item x="0"/>
        <item x="57"/>
        <item x="13"/>
        <item x="31"/>
        <item x="35"/>
        <item x="5"/>
        <item x="63"/>
        <item x="25"/>
        <item x="49"/>
        <item x="4"/>
        <item x="24"/>
        <item x="62"/>
        <item x="28"/>
        <item x="20"/>
        <item x="58"/>
        <item x="61"/>
        <item x="14"/>
        <item x="21"/>
        <item x="30"/>
        <item x="29"/>
        <item x="40"/>
        <item x="43"/>
        <item x="44"/>
        <item x="27"/>
        <item x="46"/>
        <item x="33"/>
        <item x="7"/>
        <item x="3"/>
        <item x="41"/>
        <item x="2"/>
        <item x="23"/>
        <item x="17"/>
        <item x="8"/>
        <item x="45"/>
        <item x="48"/>
        <item x="12"/>
        <item x="38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9">
        <item sd="0" x="2"/>
        <item sd="0" x="0"/>
        <item sd="0" x="5"/>
        <item sd="0" x="6"/>
        <item sd="0" x="3"/>
        <item sd="0" m="1" x="7"/>
        <item sd="0" x="1"/>
        <item sd="0" x="4"/>
        <item t="default"/>
      </items>
    </pivotField>
    <pivotField showAll="0"/>
    <pivotField showAll="0"/>
  </pivotFields>
  <rowFields count="2">
    <field x="7"/>
    <field x="1"/>
  </rowFields>
  <rowItems count="8">
    <i>
      <x/>
    </i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Contagem de CPF Client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_1" displayName="Table_1" ref="A1:E10">
  <tableColumns count="5">
    <tableColumn id="1" name="Nome Parceiro"/>
    <tableColumn id="2" name="CPF"/>
    <tableColumn id="3" name="Celular Contato/Whatsapp"/>
    <tableColumn id="4" name="Outros Fones"/>
    <tableColumn id="5" name="EMAIL"/>
  </tableColumns>
  <tableStyleInfo name="Parceir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C2">
  <tableColumns count="3">
    <tableColumn id="1" name="Nome Parceiro"/>
    <tableColumn id="2" name="Ação"/>
    <tableColumn id="3" name="Acordo ADV/Parceiro (por escrito)"/>
  </tableColumns>
  <tableStyleInfo name="Contrato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J138" totalsRowCount="1" headerRowDxfId="22" dataDxfId="21" totalsRowDxfId="20">
  <tableColumns count="10">
    <tableColumn id="1" name="Cliente" totalsRowFunction="count" dataDxfId="19" totalsRowDxfId="9"/>
    <tableColumn id="2" name="CPF Cliente" dataDxfId="18" totalsRowDxfId="8"/>
    <tableColumn id="3" name="Data Envio Email" dataDxfId="17" totalsRowDxfId="7"/>
    <tableColumn id="4" name="Destinatário 1" dataDxfId="16" totalsRowDxfId="6"/>
    <tableColumn id="5" name="Destinatário 2" dataDxfId="15" totalsRowDxfId="5"/>
    <tableColumn id="6" name="Destinatário 3" dataDxfId="14" totalsRowDxfId="4"/>
    <tableColumn id="7" name="Parceria" dataDxfId="13" totalsRowDxfId="3"/>
    <tableColumn id="8" name="Chefe" dataDxfId="12" totalsRowDxfId="2"/>
    <tableColumn id="9" name="Data Retorno(Distribuição)" dataDxfId="11" totalsRowDxfId="1"/>
    <tableColumn id="10" name="O Que Retornou" totalsRowFunction="custom" dataDxfId="10" totalsRowDxfId="0">
      <totalsRowFormula>SUBTOTAL(103,'Cálculos Enviados'!$J$2:$J$39)</totalsRowFormula>
    </tableColumn>
  </tableColumns>
  <tableStyleInfo name="Cálculos Envi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eloslongoadv@hotmail.com" TargetMode="External"/><Relationship Id="rId2" Type="http://schemas.openxmlformats.org/officeDocument/2006/relationships/hyperlink" Target="mailto:leandro@rradvocacia.com" TargetMode="External"/><Relationship Id="rId1" Type="http://schemas.openxmlformats.org/officeDocument/2006/relationships/hyperlink" Target="mailto:juliana@rradvocacia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fernandacorrea_adv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/>
  </sheetViews>
  <sheetFormatPr defaultColWidth="14.42578125" defaultRowHeight="15" customHeight="1" x14ac:dyDescent="0.25"/>
  <cols>
    <col min="1" max="1" width="24" customWidth="1"/>
    <col min="2" max="2" width="19.7109375" customWidth="1"/>
    <col min="3" max="4" width="35.85546875" customWidth="1"/>
    <col min="5" max="5" width="32.42578125" customWidth="1"/>
    <col min="6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/>
      <c r="E2" s="1" t="s">
        <v>8</v>
      </c>
    </row>
    <row r="3" spans="1:5" x14ac:dyDescent="0.25">
      <c r="A3" s="1" t="s">
        <v>9</v>
      </c>
      <c r="B3" s="1" t="s">
        <v>10</v>
      </c>
      <c r="C3" s="1" t="s">
        <v>11</v>
      </c>
      <c r="D3" s="1"/>
      <c r="E3" s="1" t="s">
        <v>12</v>
      </c>
    </row>
    <row r="4" spans="1:5" x14ac:dyDescent="0.25">
      <c r="A4" s="1" t="s">
        <v>13</v>
      </c>
      <c r="B4" s="1" t="s">
        <v>14</v>
      </c>
      <c r="C4" s="1" t="s">
        <v>15</v>
      </c>
      <c r="D4" s="1"/>
      <c r="E4" s="1" t="s">
        <v>16</v>
      </c>
    </row>
    <row r="5" spans="1:5" x14ac:dyDescent="0.25">
      <c r="A5" s="1" t="s">
        <v>17</v>
      </c>
      <c r="B5" s="1"/>
      <c r="C5" s="1" t="s">
        <v>18</v>
      </c>
      <c r="D5" s="1"/>
      <c r="E5" s="2" t="s">
        <v>19</v>
      </c>
    </row>
    <row r="6" spans="1:5" x14ac:dyDescent="0.25">
      <c r="A6" s="3" t="s">
        <v>20</v>
      </c>
      <c r="B6" s="3"/>
      <c r="C6" s="3" t="s">
        <v>21</v>
      </c>
      <c r="D6" s="3" t="s">
        <v>22</v>
      </c>
      <c r="E6" s="4" t="s">
        <v>16</v>
      </c>
    </row>
    <row r="7" spans="1:5" x14ac:dyDescent="0.25">
      <c r="A7" s="3" t="s">
        <v>23</v>
      </c>
      <c r="B7" s="3"/>
      <c r="C7" s="3" t="s">
        <v>24</v>
      </c>
      <c r="D7" s="3" t="s">
        <v>25</v>
      </c>
      <c r="E7" s="4" t="s">
        <v>26</v>
      </c>
    </row>
    <row r="8" spans="1:5" x14ac:dyDescent="0.25">
      <c r="A8" s="1" t="s">
        <v>27</v>
      </c>
      <c r="B8" s="1"/>
      <c r="C8" s="1"/>
      <c r="D8" s="1"/>
      <c r="E8" s="5" t="s">
        <v>28</v>
      </c>
    </row>
    <row r="9" spans="1:5" x14ac:dyDescent="0.25">
      <c r="A9" s="1" t="s">
        <v>29</v>
      </c>
      <c r="B9" s="1" t="s">
        <v>30</v>
      </c>
      <c r="C9" s="1"/>
      <c r="D9" s="1"/>
      <c r="E9" s="5" t="s">
        <v>31</v>
      </c>
    </row>
    <row r="10" spans="1:5" x14ac:dyDescent="0.25">
      <c r="A10" s="1" t="s">
        <v>32</v>
      </c>
      <c r="B10" s="1"/>
      <c r="C10" s="1"/>
      <c r="D10" s="1"/>
      <c r="E10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6" r:id="rId1"/>
    <hyperlink ref="E7" r:id="rId2"/>
    <hyperlink ref="E8" r:id="rId3"/>
    <hyperlink ref="E9" r:id="rId4"/>
  </hyperlinks>
  <pageMargins left="0.511811024" right="0.511811024" top="0.78740157499999996" bottom="0.78740157499999996" header="0" footer="0"/>
  <pageSetup paperSize="9" orientation="portrait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4.42578125" defaultRowHeight="15" customHeight="1" x14ac:dyDescent="0.25"/>
  <cols>
    <col min="1" max="1" width="23.85546875" customWidth="1"/>
    <col min="2" max="2" width="20.7109375" customWidth="1"/>
    <col min="3" max="3" width="33.140625" customWidth="1"/>
    <col min="4" max="26" width="8.7109375" customWidth="1"/>
  </cols>
  <sheetData>
    <row r="1" spans="1:3" x14ac:dyDescent="0.25">
      <c r="A1" s="1" t="s">
        <v>0</v>
      </c>
      <c r="B1" s="1" t="s">
        <v>33</v>
      </c>
      <c r="C1" s="1" t="s">
        <v>34</v>
      </c>
    </row>
    <row r="2" spans="1:3" x14ac:dyDescent="0.25">
      <c r="A2" s="6"/>
      <c r="B2" s="6"/>
      <c r="C2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0"/>
  <sheetViews>
    <sheetView tabSelected="1" topLeftCell="A119" zoomScale="85" zoomScaleNormal="85" workbookViewId="0">
      <selection activeCell="A133" sqref="A133:XFD137"/>
    </sheetView>
  </sheetViews>
  <sheetFormatPr defaultColWidth="46.28515625" defaultRowHeight="15" customHeight="1" x14ac:dyDescent="0.25"/>
  <cols>
    <col min="1" max="1" width="46.28515625" style="13"/>
    <col min="2" max="2" width="29.85546875" style="13" customWidth="1"/>
    <col min="3" max="3" width="26.28515625" style="13" customWidth="1"/>
    <col min="4" max="16384" width="46.28515625" style="13"/>
  </cols>
  <sheetData>
    <row r="1" spans="1:14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</row>
    <row r="2" spans="1:14" x14ac:dyDescent="0.25">
      <c r="A2" s="14" t="s">
        <v>45</v>
      </c>
      <c r="B2" s="14" t="s">
        <v>46</v>
      </c>
      <c r="C2" s="15">
        <v>45072</v>
      </c>
      <c r="D2" s="13" t="s">
        <v>12</v>
      </c>
      <c r="G2" s="13" t="e">
        <f ca="1">CONCAT('Cálculos Enviados'!$D2," | ",'Cálculos Enviados'!$E2," | ",'Cálculos Enviados'!$F2)</f>
        <v>#NAME?</v>
      </c>
      <c r="H2" s="13" t="s">
        <v>9</v>
      </c>
      <c r="J2" s="13" t="e">
        <f>VLOOKUP('Cálculos Enviados'!$B2,$M$2:$M$10,1,0)</f>
        <v>#N/A</v>
      </c>
      <c r="M2" s="16" t="s">
        <v>47</v>
      </c>
      <c r="N2" s="16" t="s">
        <v>48</v>
      </c>
    </row>
    <row r="3" spans="1:14" x14ac:dyDescent="0.25">
      <c r="A3" s="17" t="s">
        <v>49</v>
      </c>
      <c r="B3" s="17" t="s">
        <v>50</v>
      </c>
      <c r="C3" s="15">
        <v>45072</v>
      </c>
      <c r="D3" s="14" t="s">
        <v>12</v>
      </c>
      <c r="G3" s="13" t="e">
        <f ca="1">CONCAT('Cálculos Enviados'!$D3," | ",'Cálculos Enviados'!$E3," | ",'Cálculos Enviados'!$F3)</f>
        <v>#NAME?</v>
      </c>
      <c r="H3" s="13" t="s">
        <v>9</v>
      </c>
      <c r="J3" s="13" t="e">
        <f>VLOOKUP('Cálculos Enviados'!$B3,$M$2:$M$10,1,0)</f>
        <v>#N/A</v>
      </c>
      <c r="M3" s="16" t="s">
        <v>51</v>
      </c>
      <c r="N3" s="16" t="s">
        <v>52</v>
      </c>
    </row>
    <row r="4" spans="1:14" x14ac:dyDescent="0.25">
      <c r="A4" s="14" t="s">
        <v>53</v>
      </c>
      <c r="B4" s="13" t="s">
        <v>54</v>
      </c>
      <c r="C4" s="15">
        <v>45071</v>
      </c>
      <c r="D4" s="13" t="s">
        <v>8</v>
      </c>
      <c r="G4" s="13" t="e">
        <f ca="1">CONCAT('Cálculos Enviados'!$D4," | ",'Cálculos Enviados'!$E4," | ",'Cálculos Enviados'!$F4)</f>
        <v>#NAME?</v>
      </c>
      <c r="H4" s="13" t="s">
        <v>191</v>
      </c>
      <c r="I4" s="15">
        <v>45084</v>
      </c>
      <c r="J4" s="13" t="str">
        <f>VLOOKUP('Cálculos Enviados'!$B4,$M$2:$M$10,1,0)</f>
        <v>804.728.698-68</v>
      </c>
      <c r="M4" s="16" t="s">
        <v>55</v>
      </c>
      <c r="N4" s="16" t="s">
        <v>56</v>
      </c>
    </row>
    <row r="5" spans="1:14" x14ac:dyDescent="0.25">
      <c r="A5" s="17" t="s">
        <v>57</v>
      </c>
      <c r="B5" s="17" t="s">
        <v>58</v>
      </c>
      <c r="C5" s="15">
        <v>45071</v>
      </c>
      <c r="D5" s="14" t="s">
        <v>8</v>
      </c>
      <c r="G5" s="13" t="e">
        <f ca="1">CONCAT('Cálculos Enviados'!$D5," | ",'Cálculos Enviados'!$E5," | ",'Cálculos Enviados'!$F5)</f>
        <v>#NAME?</v>
      </c>
      <c r="H5" s="13" t="s">
        <v>191</v>
      </c>
      <c r="I5" s="15">
        <v>45083</v>
      </c>
      <c r="J5" s="13" t="str">
        <f>VLOOKUP('Cálculos Enviados'!$B5,$M$2:$M$10,1,0)</f>
        <v>704.619.708-30</v>
      </c>
      <c r="M5" s="16" t="s">
        <v>59</v>
      </c>
      <c r="N5" s="16" t="s">
        <v>60</v>
      </c>
    </row>
    <row r="6" spans="1:14" x14ac:dyDescent="0.25">
      <c r="A6" s="17" t="s">
        <v>61</v>
      </c>
      <c r="B6" s="17" t="s">
        <v>59</v>
      </c>
      <c r="C6" s="15">
        <v>45071</v>
      </c>
      <c r="D6" s="14" t="s">
        <v>19</v>
      </c>
      <c r="G6" s="13" t="e">
        <f ca="1">CONCAT('Cálculos Enviados'!$D6," | ",'Cálculos Enviados'!$E6," | ",'Cálculos Enviados'!$F6)</f>
        <v>#NAME?</v>
      </c>
      <c r="H6" s="13" t="s">
        <v>17</v>
      </c>
      <c r="I6" s="15">
        <v>45076</v>
      </c>
      <c r="J6" s="13" t="str">
        <f>VLOOKUP('Cálculos Enviados'!$B6,$M$2:$M$10,1,0)</f>
        <v>293.684.128-39</v>
      </c>
      <c r="M6" s="16" t="s">
        <v>58</v>
      </c>
      <c r="N6" s="16" t="s">
        <v>62</v>
      </c>
    </row>
    <row r="7" spans="1:14" x14ac:dyDescent="0.25">
      <c r="A7" s="14" t="s">
        <v>63</v>
      </c>
      <c r="B7" s="13" t="s">
        <v>64</v>
      </c>
      <c r="C7" s="15">
        <v>45071</v>
      </c>
      <c r="D7" s="14" t="s">
        <v>8</v>
      </c>
      <c r="E7" s="13" t="s">
        <v>12</v>
      </c>
      <c r="G7" s="13" t="e">
        <f ca="1">CONCAT('Cálculos Enviados'!$D7," | ",'Cálculos Enviados'!$E7," | ",'Cálculos Enviados'!$F7)</f>
        <v>#NAME?</v>
      </c>
      <c r="H7" s="13" t="s">
        <v>9</v>
      </c>
      <c r="J7" s="13" t="e">
        <f>VLOOKUP('Cálculos Enviados'!$B7,$M$2:$M$10,1,0)</f>
        <v>#N/A</v>
      </c>
      <c r="M7" s="16" t="s">
        <v>58</v>
      </c>
      <c r="N7" s="16" t="s">
        <v>65</v>
      </c>
    </row>
    <row r="8" spans="1:14" x14ac:dyDescent="0.25">
      <c r="A8" s="17" t="s">
        <v>66</v>
      </c>
      <c r="B8" s="13" t="s">
        <v>51</v>
      </c>
      <c r="C8" s="15">
        <v>45079</v>
      </c>
      <c r="D8" s="14" t="s">
        <v>8</v>
      </c>
      <c r="E8" s="18" t="s">
        <v>16</v>
      </c>
      <c r="F8" s="18" t="s">
        <v>26</v>
      </c>
      <c r="G8" s="13" t="e">
        <f ca="1">CONCAT('Cálculos Enviados'!$D8," | ",'Cálculos Enviados'!$E8," | ",'Cálculos Enviados'!$F8)</f>
        <v>#NAME?</v>
      </c>
      <c r="H8" s="13" t="s">
        <v>32</v>
      </c>
      <c r="I8" s="15">
        <v>45082</v>
      </c>
      <c r="J8" s="13" t="str">
        <f>VLOOKUP('Cálculos Enviados'!$B8,$M$2:$M$10,1,0)</f>
        <v>059.567.368-60</v>
      </c>
      <c r="M8" s="16" t="s">
        <v>54</v>
      </c>
      <c r="N8" s="16" t="s">
        <v>67</v>
      </c>
    </row>
    <row r="9" spans="1:14" x14ac:dyDescent="0.25">
      <c r="A9" s="13" t="s">
        <v>68</v>
      </c>
      <c r="B9" s="13" t="s">
        <v>69</v>
      </c>
      <c r="C9" s="15">
        <v>45079</v>
      </c>
      <c r="D9" s="14" t="s">
        <v>8</v>
      </c>
      <c r="E9" s="18" t="s">
        <v>12</v>
      </c>
      <c r="G9" s="13" t="e">
        <f ca="1">CONCAT('Cálculos Enviados'!$D9," | ",'Cálculos Enviados'!$E9," | ",'Cálculos Enviados'!$F9)</f>
        <v>#NAME?</v>
      </c>
      <c r="H9" s="13" t="s">
        <v>9</v>
      </c>
      <c r="J9" s="13" t="e">
        <f>VLOOKUP('Cálculos Enviados'!$B9,$M$2:$M$10,1,0)</f>
        <v>#N/A</v>
      </c>
      <c r="M9" s="16" t="s">
        <v>70</v>
      </c>
      <c r="N9" s="16" t="s">
        <v>71</v>
      </c>
    </row>
    <row r="10" spans="1:14" x14ac:dyDescent="0.25">
      <c r="A10" s="13" t="s">
        <v>72</v>
      </c>
      <c r="B10" s="13" t="s">
        <v>70</v>
      </c>
      <c r="C10" s="15">
        <v>45079</v>
      </c>
      <c r="D10" s="14" t="s">
        <v>8</v>
      </c>
      <c r="E10" s="18" t="s">
        <v>16</v>
      </c>
      <c r="F10" s="18" t="s">
        <v>26</v>
      </c>
      <c r="G10" s="13" t="e">
        <f ca="1">CONCAT('Cálculos Enviados'!$D10," | ",'Cálculos Enviados'!$E10," | ",'Cálculos Enviados'!$F10)</f>
        <v>#NAME?</v>
      </c>
      <c r="H10" s="13" t="s">
        <v>32</v>
      </c>
      <c r="I10" s="15">
        <v>45084</v>
      </c>
      <c r="J10" s="13" t="str">
        <f>VLOOKUP('Cálculos Enviados'!$B10,$M$2:$M$10,1,0)</f>
        <v>957.550.128-49</v>
      </c>
      <c r="M10" s="16" t="s">
        <v>73</v>
      </c>
      <c r="N10" s="16" t="s">
        <v>74</v>
      </c>
    </row>
    <row r="11" spans="1:14" x14ac:dyDescent="0.25">
      <c r="A11" s="17" t="s">
        <v>75</v>
      </c>
      <c r="B11" s="17" t="s">
        <v>47</v>
      </c>
      <c r="C11" s="15">
        <v>45079</v>
      </c>
      <c r="D11" s="14" t="s">
        <v>8</v>
      </c>
      <c r="E11" s="18" t="s">
        <v>16</v>
      </c>
      <c r="F11" s="18" t="s">
        <v>26</v>
      </c>
      <c r="G11" s="13" t="e">
        <f ca="1">CONCAT('Cálculos Enviados'!$D11," | ",'Cálculos Enviados'!$E11," | ",'Cálculos Enviados'!$F11)</f>
        <v>#NAME?</v>
      </c>
      <c r="H11" s="13" t="s">
        <v>32</v>
      </c>
      <c r="I11" s="15">
        <v>45082</v>
      </c>
      <c r="J11" s="13" t="str">
        <f>VLOOKUP('Cálculos Enviados'!$B11,$M$2:$M$10,1,0)</f>
        <v>006.071.568-56</v>
      </c>
    </row>
    <row r="12" spans="1:14" x14ac:dyDescent="0.25">
      <c r="A12" s="17" t="s">
        <v>76</v>
      </c>
      <c r="B12" s="13" t="s">
        <v>55</v>
      </c>
      <c r="C12" s="15">
        <v>45079</v>
      </c>
      <c r="D12" s="14" t="s">
        <v>8</v>
      </c>
      <c r="E12" s="18" t="s">
        <v>16</v>
      </c>
      <c r="F12" s="18" t="s">
        <v>26</v>
      </c>
      <c r="G12" s="13" t="e">
        <f ca="1">CONCAT('Cálculos Enviados'!$D12," | ",'Cálculos Enviados'!$E12," | ",'Cálculos Enviados'!$F12)</f>
        <v>#NAME?</v>
      </c>
      <c r="H12" s="13" t="s">
        <v>32</v>
      </c>
      <c r="I12" s="15">
        <v>45082</v>
      </c>
      <c r="J12" s="13" t="str">
        <f>VLOOKUP('Cálculos Enviados'!$B12,$M$2:$M$10,1,0)</f>
        <v>080.435.368-99</v>
      </c>
    </row>
    <row r="13" spans="1:14" x14ac:dyDescent="0.25">
      <c r="A13" s="17" t="s">
        <v>77</v>
      </c>
      <c r="B13" s="13" t="s">
        <v>78</v>
      </c>
      <c r="C13" s="15">
        <v>45083</v>
      </c>
      <c r="D13" s="14" t="s">
        <v>8</v>
      </c>
      <c r="E13" s="18" t="s">
        <v>28</v>
      </c>
      <c r="G13" s="13" t="e">
        <f ca="1">CONCAT('Cálculos Enviados'!$D13," | ",'Cálculos Enviados'!$E13," | ",'Cálculos Enviados'!$F13)</f>
        <v>#NAME?</v>
      </c>
      <c r="H13" s="13" t="s">
        <v>192</v>
      </c>
      <c r="J13" s="13" t="e">
        <f>VLOOKUP('Cálculos Enviados'!$B13,$M$2:$M$10,1,0)</f>
        <v>#N/A</v>
      </c>
    </row>
    <row r="14" spans="1:14" x14ac:dyDescent="0.25">
      <c r="A14" s="17" t="s">
        <v>79</v>
      </c>
      <c r="B14" s="13" t="s">
        <v>73</v>
      </c>
      <c r="C14" s="15">
        <v>45084</v>
      </c>
      <c r="D14" s="18" t="s">
        <v>8</v>
      </c>
      <c r="E14" s="18" t="s">
        <v>16</v>
      </c>
      <c r="F14" s="13" t="s">
        <v>26</v>
      </c>
      <c r="G14" s="13" t="e">
        <f ca="1">CONCAT('Cálculos Enviados'!$D14," | ",'Cálculos Enviados'!$E14," | ",'Cálculos Enviados'!$F14)</f>
        <v>#NAME?</v>
      </c>
      <c r="H14" s="13" t="s">
        <v>32</v>
      </c>
      <c r="I14" s="15">
        <v>45089</v>
      </c>
      <c r="J14" s="13" t="str">
        <f>VLOOKUP('Cálculos Enviados'!$B14,$M$2:$M$10,1,0)</f>
        <v>966.072.978-20</v>
      </c>
    </row>
    <row r="15" spans="1:14" x14ac:dyDescent="0.25">
      <c r="A15" s="17" t="s">
        <v>80</v>
      </c>
      <c r="B15" s="13" t="s">
        <v>81</v>
      </c>
      <c r="C15" s="15">
        <v>45084</v>
      </c>
      <c r="D15" s="18" t="s">
        <v>8</v>
      </c>
      <c r="E15" s="18" t="s">
        <v>16</v>
      </c>
      <c r="F15" s="13" t="s">
        <v>26</v>
      </c>
      <c r="G15" s="13" t="e">
        <f ca="1">CONCAT('Cálculos Enviados'!$D15," | ",'Cálculos Enviados'!$E15," | ",'Cálculos Enviados'!$F15)</f>
        <v>#NAME?</v>
      </c>
      <c r="H15" s="13" t="s">
        <v>32</v>
      </c>
      <c r="J15" s="13" t="e">
        <f>VLOOKUP('Cálculos Enviados'!$B15,$M$2:$M$10,1,0)</f>
        <v>#N/A</v>
      </c>
    </row>
    <row r="16" spans="1:14" x14ac:dyDescent="0.25">
      <c r="A16" s="17" t="s">
        <v>82</v>
      </c>
      <c r="B16" s="13" t="s">
        <v>83</v>
      </c>
      <c r="C16" s="15">
        <v>45084</v>
      </c>
      <c r="D16" s="18" t="s">
        <v>8</v>
      </c>
      <c r="E16" s="18" t="s">
        <v>31</v>
      </c>
      <c r="F16" s="18" t="s">
        <v>84</v>
      </c>
      <c r="G16" s="13" t="e">
        <f ca="1">CONCAT('Cálculos Enviados'!$D16," | ",'Cálculos Enviados'!$E16," | ",'Cálculos Enviados'!$F16)</f>
        <v>#NAME?</v>
      </c>
      <c r="H16" s="13" t="s">
        <v>85</v>
      </c>
      <c r="J16" s="13" t="e">
        <f>VLOOKUP('Cálculos Enviados'!$B16,$M$2:$M$10,1,0)</f>
        <v>#N/A</v>
      </c>
    </row>
    <row r="17" spans="1:10" x14ac:dyDescent="0.25">
      <c r="A17" s="17" t="s">
        <v>86</v>
      </c>
      <c r="B17" s="13" t="s">
        <v>87</v>
      </c>
      <c r="C17" s="15">
        <v>45084</v>
      </c>
      <c r="D17" s="18" t="s">
        <v>8</v>
      </c>
      <c r="E17" s="18" t="s">
        <v>12</v>
      </c>
      <c r="G17" s="13" t="e">
        <f ca="1">CONCAT('Cálculos Enviados'!$D17," | ",'Cálculos Enviados'!$E17," | ",'Cálculos Enviados'!$F17)</f>
        <v>#NAME?</v>
      </c>
      <c r="H17" s="13" t="s">
        <v>9</v>
      </c>
      <c r="J17" s="13" t="e">
        <f>VLOOKUP('Cálculos Enviados'!$B17,$M$2:$M$10,1,0)</f>
        <v>#N/A</v>
      </c>
    </row>
    <row r="18" spans="1:10" x14ac:dyDescent="0.25">
      <c r="A18" s="17" t="s">
        <v>88</v>
      </c>
      <c r="B18" s="13" t="s">
        <v>89</v>
      </c>
      <c r="C18" s="15">
        <v>45084</v>
      </c>
      <c r="D18" s="18" t="s">
        <v>8</v>
      </c>
      <c r="G18" s="13" t="e">
        <f ca="1">CONCAT('Cálculos Enviados'!$D18," | ",'Cálculos Enviados'!$E18," | ",'Cálculos Enviados'!$F18)</f>
        <v>#NAME?</v>
      </c>
      <c r="H18" s="13" t="s">
        <v>191</v>
      </c>
      <c r="J18" s="13" t="e">
        <f>VLOOKUP('Cálculos Enviados'!$B18,$M$2:$M$10,1,0)</f>
        <v>#N/A</v>
      </c>
    </row>
    <row r="19" spans="1:10" x14ac:dyDescent="0.25">
      <c r="A19" s="17" t="s">
        <v>90</v>
      </c>
      <c r="B19" s="13" t="s">
        <v>91</v>
      </c>
      <c r="C19" s="15">
        <v>45084</v>
      </c>
      <c r="D19" s="18" t="s">
        <v>8</v>
      </c>
      <c r="E19" s="18" t="s">
        <v>12</v>
      </c>
      <c r="G19" s="13" t="e">
        <f ca="1">CONCAT('Cálculos Enviados'!$D19," | ",'Cálculos Enviados'!$E19," | ",'Cálculos Enviados'!$F19)</f>
        <v>#NAME?</v>
      </c>
      <c r="H19" s="13" t="s">
        <v>9</v>
      </c>
      <c r="J19" s="13" t="e">
        <f>VLOOKUP('Cálculos Enviados'!$B19,$M$2:$M$10,1,0)</f>
        <v>#N/A</v>
      </c>
    </row>
    <row r="20" spans="1:10" x14ac:dyDescent="0.25">
      <c r="A20" s="17" t="s">
        <v>92</v>
      </c>
      <c r="B20" s="13" t="s">
        <v>93</v>
      </c>
      <c r="C20" s="15">
        <v>45084</v>
      </c>
      <c r="D20" s="18" t="s">
        <v>8</v>
      </c>
      <c r="E20" s="18" t="s">
        <v>12</v>
      </c>
      <c r="G20" s="13" t="e">
        <f ca="1">CONCAT('Cálculos Enviados'!$D20," | ",'Cálculos Enviados'!$E20," | ",'Cálculos Enviados'!$F20)</f>
        <v>#NAME?</v>
      </c>
      <c r="H20" s="13" t="s">
        <v>9</v>
      </c>
      <c r="J20" s="13" t="e">
        <f>VLOOKUP('Cálculos Enviados'!$B20,$M$2:$M$10,1,0)</f>
        <v>#N/A</v>
      </c>
    </row>
    <row r="21" spans="1:10" ht="15.75" customHeight="1" x14ac:dyDescent="0.25">
      <c r="A21" s="17" t="s">
        <v>94</v>
      </c>
      <c r="B21" s="13" t="s">
        <v>95</v>
      </c>
      <c r="C21" s="15">
        <v>45084</v>
      </c>
      <c r="D21" s="18" t="s">
        <v>8</v>
      </c>
      <c r="E21" s="18" t="s">
        <v>12</v>
      </c>
      <c r="G21" s="13" t="e">
        <f ca="1">CONCAT('Cálculos Enviados'!$D21," | ",'Cálculos Enviados'!$E21," | ",'Cálculos Enviados'!$F21)</f>
        <v>#NAME?</v>
      </c>
      <c r="H21" s="13" t="s">
        <v>9</v>
      </c>
      <c r="J21" s="13" t="e">
        <f>VLOOKUP('Cálculos Enviados'!$B21,$M$2:$M$10,1,0)</f>
        <v>#N/A</v>
      </c>
    </row>
    <row r="22" spans="1:10" ht="15.75" customHeight="1" x14ac:dyDescent="0.25">
      <c r="A22" s="17" t="s">
        <v>96</v>
      </c>
      <c r="B22" s="13" t="s">
        <v>97</v>
      </c>
      <c r="C22" s="15">
        <v>45084</v>
      </c>
      <c r="D22" s="18" t="s">
        <v>8</v>
      </c>
      <c r="E22" s="18" t="s">
        <v>12</v>
      </c>
      <c r="G22" s="13" t="e">
        <f ca="1">CONCAT('Cálculos Enviados'!$D22," | ",'Cálculos Enviados'!$E22," | ",'Cálculos Enviados'!$F22)</f>
        <v>#NAME?</v>
      </c>
      <c r="H22" s="13" t="s">
        <v>9</v>
      </c>
      <c r="J22" s="13" t="e">
        <f>VLOOKUP('Cálculos Enviados'!$B22,$M$2:$M$10,1,0)</f>
        <v>#N/A</v>
      </c>
    </row>
    <row r="23" spans="1:10" ht="15.75" customHeight="1" x14ac:dyDescent="0.25">
      <c r="A23" s="17" t="s">
        <v>98</v>
      </c>
      <c r="B23" s="13" t="s">
        <v>99</v>
      </c>
      <c r="C23" s="15">
        <v>45084</v>
      </c>
      <c r="D23" s="18" t="s">
        <v>8</v>
      </c>
      <c r="E23" s="18" t="s">
        <v>12</v>
      </c>
      <c r="G23" s="13" t="e">
        <f ca="1">CONCAT('Cálculos Enviados'!$D23," | ",'Cálculos Enviados'!$E23," | ",'Cálculos Enviados'!$F23)</f>
        <v>#NAME?</v>
      </c>
      <c r="H23" s="13" t="s">
        <v>9</v>
      </c>
      <c r="J23" s="13" t="e">
        <f>VLOOKUP('Cálculos Enviados'!$B23,$M$2:$M$10,1,0)</f>
        <v>#N/A</v>
      </c>
    </row>
    <row r="24" spans="1:10" ht="15.75" customHeight="1" x14ac:dyDescent="0.25">
      <c r="A24" s="17" t="s">
        <v>100</v>
      </c>
      <c r="B24" s="13" t="s">
        <v>101</v>
      </c>
      <c r="C24" s="15">
        <v>45086</v>
      </c>
      <c r="D24" s="18" t="s">
        <v>8</v>
      </c>
      <c r="E24" s="18" t="s">
        <v>12</v>
      </c>
      <c r="G24" s="13" t="e">
        <f ca="1">CONCAT('Cálculos Enviados'!$D24," | ",'Cálculos Enviados'!$E24," | ",'Cálculos Enviados'!$F24)</f>
        <v>#NAME?</v>
      </c>
      <c r="H24" s="13" t="s">
        <v>9</v>
      </c>
      <c r="J24" s="13" t="e">
        <f>VLOOKUP('Cálculos Enviados'!$B24,$M$2:$M$10,1,0)</f>
        <v>#N/A</v>
      </c>
    </row>
    <row r="25" spans="1:10" ht="15.75" customHeight="1" x14ac:dyDescent="0.25">
      <c r="A25" s="17" t="s">
        <v>102</v>
      </c>
      <c r="B25" s="13" t="s">
        <v>103</v>
      </c>
      <c r="C25" s="15">
        <v>45086</v>
      </c>
      <c r="D25" s="18" t="s">
        <v>8</v>
      </c>
      <c r="E25" s="18" t="s">
        <v>12</v>
      </c>
      <c r="G25" s="13" t="e">
        <f ca="1">CONCAT('Cálculos Enviados'!$D25," | ",'Cálculos Enviados'!$E25," | ",'Cálculos Enviados'!$F25)</f>
        <v>#NAME?</v>
      </c>
      <c r="H25" s="13" t="s">
        <v>9</v>
      </c>
      <c r="J25" s="13" t="e">
        <f>VLOOKUP('Cálculos Enviados'!$B25,$M$2:$M$10,1,0)</f>
        <v>#N/A</v>
      </c>
    </row>
    <row r="26" spans="1:10" ht="15.75" customHeight="1" x14ac:dyDescent="0.25">
      <c r="A26" s="17" t="s">
        <v>104</v>
      </c>
      <c r="B26" s="13" t="s">
        <v>105</v>
      </c>
      <c r="C26" s="15">
        <v>45086</v>
      </c>
      <c r="D26" s="18" t="s">
        <v>8</v>
      </c>
      <c r="E26" s="18" t="s">
        <v>12</v>
      </c>
      <c r="G26" s="13" t="e">
        <f ca="1">CONCAT('Cálculos Enviados'!$D26," | ",'Cálculos Enviados'!$E26," | ",'Cálculos Enviados'!$F26)</f>
        <v>#NAME?</v>
      </c>
      <c r="H26" s="13" t="s">
        <v>9</v>
      </c>
      <c r="J26" s="13" t="e">
        <f>VLOOKUP('Cálculos Enviados'!$B26,$M$2:$M$10,1,0)</f>
        <v>#N/A</v>
      </c>
    </row>
    <row r="27" spans="1:10" ht="15.75" customHeight="1" x14ac:dyDescent="0.25">
      <c r="A27" s="17" t="s">
        <v>106</v>
      </c>
      <c r="B27" s="19" t="s">
        <v>107</v>
      </c>
      <c r="C27" s="15">
        <v>45086</v>
      </c>
      <c r="D27" s="18" t="s">
        <v>8</v>
      </c>
      <c r="E27" s="18" t="s">
        <v>12</v>
      </c>
      <c r="G27" s="13" t="e">
        <f ca="1">CONCAT('Cálculos Enviados'!$D27," | ",'Cálculos Enviados'!$E27," | ",'Cálculos Enviados'!$F27)</f>
        <v>#NAME?</v>
      </c>
      <c r="H27" s="13" t="s">
        <v>9</v>
      </c>
      <c r="J27" s="13" t="e">
        <f>VLOOKUP('Cálculos Enviados'!$B27,$M$2:$M$10,1,0)</f>
        <v>#N/A</v>
      </c>
    </row>
    <row r="28" spans="1:10" ht="15.75" customHeight="1" x14ac:dyDescent="0.25">
      <c r="A28" s="17" t="s">
        <v>108</v>
      </c>
      <c r="B28" s="13" t="s">
        <v>109</v>
      </c>
      <c r="C28" s="15">
        <v>45086</v>
      </c>
      <c r="D28" s="18" t="s">
        <v>8</v>
      </c>
      <c r="E28" s="18" t="s">
        <v>12</v>
      </c>
      <c r="G28" s="13" t="e">
        <f ca="1">CONCAT('Cálculos Enviados'!$D28," | ",'Cálculos Enviados'!$E28," | ",'Cálculos Enviados'!$F28)</f>
        <v>#NAME?</v>
      </c>
      <c r="H28" s="13" t="s">
        <v>9</v>
      </c>
      <c r="J28" s="13" t="e">
        <f>VLOOKUP('Cálculos Enviados'!$B28,$M$2:$M$10,1,0)</f>
        <v>#N/A</v>
      </c>
    </row>
    <row r="29" spans="1:10" ht="15.75" customHeight="1" x14ac:dyDescent="0.25">
      <c r="A29" s="17" t="s">
        <v>110</v>
      </c>
      <c r="B29" s="13" t="s">
        <v>111</v>
      </c>
      <c r="C29" s="15">
        <v>45091</v>
      </c>
      <c r="D29" s="18" t="s">
        <v>12</v>
      </c>
      <c r="G29" s="13" t="e">
        <f ca="1">CONCAT('Cálculos Enviados'!$D29," | ",'Cálculos Enviados'!$E29," | ",'Cálculos Enviados'!$F29)</f>
        <v>#NAME?</v>
      </c>
      <c r="H29" s="13" t="s">
        <v>9</v>
      </c>
      <c r="J29" s="13" t="e">
        <f>VLOOKUP('Cálculos Enviados'!$B29,$M$2:$M$10,1,0)</f>
        <v>#N/A</v>
      </c>
    </row>
    <row r="30" spans="1:10" ht="15.75" customHeight="1" x14ac:dyDescent="0.25">
      <c r="A30" s="17" t="s">
        <v>112</v>
      </c>
      <c r="B30" s="13" t="s">
        <v>113</v>
      </c>
      <c r="C30" s="15">
        <v>45092</v>
      </c>
      <c r="D30" s="18" t="s">
        <v>12</v>
      </c>
      <c r="G30" s="13" t="e">
        <f ca="1">CONCAT('Cálculos Enviados'!$D30," | ",'Cálculos Enviados'!$E30," | ",'Cálculos Enviados'!$F30)</f>
        <v>#NAME?</v>
      </c>
      <c r="H30" s="13" t="s">
        <v>9</v>
      </c>
      <c r="J30" s="13" t="e">
        <f>VLOOKUP('Cálculos Enviados'!$B30,$M$2:$M$10,1,0)</f>
        <v>#N/A</v>
      </c>
    </row>
    <row r="31" spans="1:10" ht="15.75" customHeight="1" x14ac:dyDescent="0.25">
      <c r="A31" s="17" t="s">
        <v>114</v>
      </c>
      <c r="B31" s="13" t="s">
        <v>115</v>
      </c>
      <c r="C31" s="15">
        <v>45103</v>
      </c>
      <c r="D31" s="13" t="s">
        <v>8</v>
      </c>
      <c r="E31" s="13" t="s">
        <v>12</v>
      </c>
      <c r="G31" s="13" t="e">
        <f ca="1">CONCAT('Cálculos Enviados'!$D31," | ",'Cálculos Enviados'!$E31," | ",'Cálculos Enviados'!$F31)</f>
        <v>#NAME?</v>
      </c>
      <c r="H31" s="13" t="s">
        <v>9</v>
      </c>
      <c r="J31" s="13" t="e">
        <f>VLOOKUP('Cálculos Enviados'!$B31,$M$2:$M$10,1,0)</f>
        <v>#N/A</v>
      </c>
    </row>
    <row r="32" spans="1:10" ht="15.75" customHeight="1" x14ac:dyDescent="0.25">
      <c r="A32" s="17" t="s">
        <v>116</v>
      </c>
      <c r="B32" s="17" t="s">
        <v>117</v>
      </c>
      <c r="C32" s="15">
        <v>45103</v>
      </c>
      <c r="D32" s="13" t="s">
        <v>8</v>
      </c>
      <c r="E32" s="13" t="s">
        <v>12</v>
      </c>
      <c r="G32" s="13" t="e">
        <f ca="1">CONCAT('Cálculos Enviados'!$D32," | ",'Cálculos Enviados'!$E32," | ",'Cálculos Enviados'!$F32)</f>
        <v>#NAME?</v>
      </c>
      <c r="H32" s="13" t="s">
        <v>9</v>
      </c>
      <c r="J32" s="13" t="e">
        <f>VLOOKUP('Cálculos Enviados'!$B32,$M$2:$M$10,1,0)</f>
        <v>#N/A</v>
      </c>
    </row>
    <row r="33" spans="1:10" ht="15.75" customHeight="1" x14ac:dyDescent="0.25">
      <c r="A33" s="17" t="s">
        <v>118</v>
      </c>
      <c r="B33" s="19" t="s">
        <v>119</v>
      </c>
      <c r="C33" s="15">
        <v>45103</v>
      </c>
      <c r="D33" s="13" t="s">
        <v>8</v>
      </c>
      <c r="E33" s="13" t="s">
        <v>12</v>
      </c>
      <c r="G33" s="13" t="e">
        <f ca="1">CONCAT('Cálculos Enviados'!$D33," | ",'Cálculos Enviados'!$E33," | ",'Cálculos Enviados'!$F33)</f>
        <v>#NAME?</v>
      </c>
      <c r="H33" s="13" t="s">
        <v>9</v>
      </c>
      <c r="J33" s="13" t="e">
        <f>VLOOKUP('Cálculos Enviados'!$B33,$M$2:$M$10,1,0)</f>
        <v>#N/A</v>
      </c>
    </row>
    <row r="34" spans="1:10" ht="15.75" customHeight="1" x14ac:dyDescent="0.25">
      <c r="A34" s="17" t="s">
        <v>120</v>
      </c>
      <c r="B34" s="13" t="s">
        <v>121</v>
      </c>
      <c r="C34" s="15">
        <v>45103</v>
      </c>
      <c r="D34" s="13" t="s">
        <v>8</v>
      </c>
      <c r="E34" s="13" t="s">
        <v>12</v>
      </c>
      <c r="G34" s="13" t="e">
        <f ca="1">CONCAT('Cálculos Enviados'!$D34," | ",'Cálculos Enviados'!$E34," | ",'Cálculos Enviados'!$F34)</f>
        <v>#NAME?</v>
      </c>
      <c r="H34" s="13" t="s">
        <v>9</v>
      </c>
      <c r="J34" s="13" t="e">
        <f>VLOOKUP('Cálculos Enviados'!$B34,$M$2:$M$10,1,0)</f>
        <v>#N/A</v>
      </c>
    </row>
    <row r="35" spans="1:10" ht="15.75" customHeight="1" x14ac:dyDescent="0.25">
      <c r="A35" s="17" t="s">
        <v>122</v>
      </c>
      <c r="B35" s="13" t="s">
        <v>123</v>
      </c>
      <c r="C35" s="15">
        <v>45103</v>
      </c>
      <c r="D35" s="13" t="s">
        <v>8</v>
      </c>
      <c r="E35" s="13" t="s">
        <v>12</v>
      </c>
      <c r="G35" s="13" t="e">
        <f ca="1">CONCAT('Cálculos Enviados'!$D35," | ",'Cálculos Enviados'!$E35," | ",'Cálculos Enviados'!$F35)</f>
        <v>#NAME?</v>
      </c>
      <c r="H35" s="13" t="s">
        <v>9</v>
      </c>
      <c r="J35" s="13" t="e">
        <f>VLOOKUP('Cálculos Enviados'!$B35,$M$2:$M$10,1,0)</f>
        <v>#N/A</v>
      </c>
    </row>
    <row r="36" spans="1:10" ht="15.75" customHeight="1" x14ac:dyDescent="0.25">
      <c r="A36" s="17" t="s">
        <v>124</v>
      </c>
      <c r="B36" s="13" t="s">
        <v>125</v>
      </c>
      <c r="C36" s="15">
        <v>45103</v>
      </c>
      <c r="D36" s="13" t="s">
        <v>8</v>
      </c>
      <c r="E36" s="13" t="s">
        <v>12</v>
      </c>
      <c r="G36" s="13" t="e">
        <f ca="1">CONCAT('Cálculos Enviados'!$D36," | ",'Cálculos Enviados'!$E36," | ",'Cálculos Enviados'!$F36)</f>
        <v>#NAME?</v>
      </c>
      <c r="H36" s="13" t="s">
        <v>9</v>
      </c>
      <c r="J36" s="13" t="e">
        <f>VLOOKUP('Cálculos Enviados'!$B36,$M$2:$M$10,1,0)</f>
        <v>#N/A</v>
      </c>
    </row>
    <row r="37" spans="1:10" ht="15.75" customHeight="1" x14ac:dyDescent="0.25">
      <c r="A37" s="17" t="s">
        <v>126</v>
      </c>
      <c r="B37" s="13" t="s">
        <v>127</v>
      </c>
      <c r="C37" s="15">
        <v>45103</v>
      </c>
      <c r="D37" s="13" t="s">
        <v>8</v>
      </c>
      <c r="E37" s="13" t="s">
        <v>12</v>
      </c>
      <c r="G37" s="13" t="e">
        <f ca="1">CONCAT('Cálculos Enviados'!$D37," | ",'Cálculos Enviados'!$E37," | ",'Cálculos Enviados'!$F37)</f>
        <v>#NAME?</v>
      </c>
      <c r="H37" s="13" t="s">
        <v>9</v>
      </c>
      <c r="J37" s="13" t="e">
        <f>VLOOKUP('Cálculos Enviados'!$B37,$M$2:$M$10,1,0)</f>
        <v>#N/A</v>
      </c>
    </row>
    <row r="38" spans="1:10" ht="15.75" customHeight="1" x14ac:dyDescent="0.25">
      <c r="A38" s="17" t="s">
        <v>128</v>
      </c>
      <c r="B38" s="17" t="s">
        <v>129</v>
      </c>
      <c r="C38" s="15">
        <v>45110</v>
      </c>
      <c r="D38" s="13" t="s">
        <v>8</v>
      </c>
      <c r="G38" s="13" t="e">
        <f ca="1">CONCAT('Cálculos Enviados'!$D38," | ",'Cálculos Enviados'!$E38," | ",'Cálculos Enviados'!$F38)</f>
        <v>#NAME?</v>
      </c>
      <c r="H38" s="13" t="s">
        <v>191</v>
      </c>
      <c r="J38" s="13" t="e">
        <f>VLOOKUP('Cálculos Enviados'!$B38,$M$2:$M$10,1,0)</f>
        <v>#N/A</v>
      </c>
    </row>
    <row r="39" spans="1:10" ht="15.75" customHeight="1" x14ac:dyDescent="0.25">
      <c r="A39" s="17" t="s">
        <v>130</v>
      </c>
      <c r="B39" s="13" t="s">
        <v>131</v>
      </c>
      <c r="C39" s="15">
        <v>45110</v>
      </c>
      <c r="D39" s="13" t="s">
        <v>8</v>
      </c>
      <c r="G39" s="13" t="e">
        <f ca="1">CONCAT('Cálculos Enviados'!$D39," | ",'Cálculos Enviados'!$E39," | ",'Cálculos Enviados'!$F39)</f>
        <v>#NAME?</v>
      </c>
      <c r="H39" s="13" t="s">
        <v>191</v>
      </c>
      <c r="J39" s="13" t="e">
        <f>VLOOKUP('Cálculos Enviados'!$B39,$M$2:$M$10,1,0)</f>
        <v>#N/A</v>
      </c>
    </row>
    <row r="40" spans="1:10" ht="15.75" customHeight="1" x14ac:dyDescent="0.25">
      <c r="A40" s="17" t="s">
        <v>132</v>
      </c>
      <c r="B40" s="13" t="s">
        <v>133</v>
      </c>
      <c r="C40" s="15">
        <v>45120</v>
      </c>
      <c r="D40" s="18" t="s">
        <v>19</v>
      </c>
      <c r="H40" s="13" t="s">
        <v>17</v>
      </c>
    </row>
    <row r="41" spans="1:10" ht="15.75" customHeight="1" x14ac:dyDescent="0.25">
      <c r="A41" s="17" t="s">
        <v>137</v>
      </c>
      <c r="B41" s="13" t="s">
        <v>138</v>
      </c>
      <c r="C41" s="15">
        <v>45120</v>
      </c>
      <c r="D41" s="18" t="s">
        <v>142</v>
      </c>
      <c r="H41" s="20" t="s">
        <v>139</v>
      </c>
    </row>
    <row r="42" spans="1:10" ht="15.75" customHeight="1" x14ac:dyDescent="0.25">
      <c r="A42" s="17" t="s">
        <v>140</v>
      </c>
      <c r="B42" s="13" t="s">
        <v>141</v>
      </c>
      <c r="C42" s="15">
        <v>45120</v>
      </c>
      <c r="D42" s="18" t="s">
        <v>142</v>
      </c>
      <c r="H42" s="20" t="s">
        <v>139</v>
      </c>
    </row>
    <row r="43" spans="1:10" ht="15.75" customHeight="1" x14ac:dyDescent="0.25">
      <c r="A43" s="17" t="s">
        <v>143</v>
      </c>
      <c r="B43" s="13" t="s">
        <v>144</v>
      </c>
      <c r="C43" s="15">
        <v>45120</v>
      </c>
      <c r="D43" s="18" t="s">
        <v>142</v>
      </c>
      <c r="H43" s="20" t="s">
        <v>139</v>
      </c>
    </row>
    <row r="44" spans="1:10" ht="15.75" customHeight="1" x14ac:dyDescent="0.25">
      <c r="A44" s="17" t="s">
        <v>145</v>
      </c>
      <c r="B44" s="13" t="s">
        <v>146</v>
      </c>
      <c r="C44" s="15">
        <v>45120</v>
      </c>
      <c r="D44" s="18" t="s">
        <v>142</v>
      </c>
      <c r="H44" s="20" t="s">
        <v>139</v>
      </c>
    </row>
    <row r="45" spans="1:10" ht="15.75" customHeight="1" x14ac:dyDescent="0.25">
      <c r="A45" s="17" t="s">
        <v>147</v>
      </c>
      <c r="B45" s="13" t="s">
        <v>148</v>
      </c>
      <c r="C45" s="15">
        <v>45120</v>
      </c>
      <c r="D45" s="18" t="s">
        <v>142</v>
      </c>
      <c r="H45" s="20" t="s">
        <v>139</v>
      </c>
    </row>
    <row r="46" spans="1:10" ht="15.75" customHeight="1" x14ac:dyDescent="0.25">
      <c r="A46" s="17" t="s">
        <v>149</v>
      </c>
      <c r="B46" s="13" t="s">
        <v>150</v>
      </c>
      <c r="C46" s="15">
        <v>45120</v>
      </c>
      <c r="D46" s="18" t="s">
        <v>142</v>
      </c>
      <c r="H46" s="20" t="s">
        <v>139</v>
      </c>
    </row>
    <row r="47" spans="1:10" ht="15.75" customHeight="1" x14ac:dyDescent="0.25">
      <c r="A47" s="17" t="s">
        <v>151</v>
      </c>
      <c r="B47" s="13" t="s">
        <v>152</v>
      </c>
      <c r="C47" s="15">
        <v>45120</v>
      </c>
      <c r="D47" s="18" t="s">
        <v>142</v>
      </c>
      <c r="H47" s="20" t="s">
        <v>139</v>
      </c>
    </row>
    <row r="48" spans="1:10" ht="15.75" customHeight="1" x14ac:dyDescent="0.25">
      <c r="A48" s="17" t="s">
        <v>153</v>
      </c>
      <c r="B48" s="13" t="s">
        <v>154</v>
      </c>
      <c r="C48" s="15">
        <v>45121</v>
      </c>
      <c r="D48" s="18" t="s">
        <v>142</v>
      </c>
      <c r="H48" s="20" t="s">
        <v>139</v>
      </c>
    </row>
    <row r="49" spans="1:8" ht="15.75" customHeight="1" x14ac:dyDescent="0.25">
      <c r="A49" s="17" t="s">
        <v>155</v>
      </c>
      <c r="B49" s="13" t="s">
        <v>156</v>
      </c>
      <c r="C49" s="15">
        <v>45121</v>
      </c>
      <c r="D49" s="18" t="s">
        <v>142</v>
      </c>
      <c r="H49" s="20" t="s">
        <v>139</v>
      </c>
    </row>
    <row r="50" spans="1:8" ht="15.75" customHeight="1" x14ac:dyDescent="0.25">
      <c r="A50" s="17" t="s">
        <v>157</v>
      </c>
      <c r="B50" s="13" t="s">
        <v>158</v>
      </c>
      <c r="C50" s="15">
        <v>45121</v>
      </c>
      <c r="D50" s="18" t="s">
        <v>142</v>
      </c>
      <c r="H50" s="20" t="s">
        <v>139</v>
      </c>
    </row>
    <row r="51" spans="1:8" ht="15.75" customHeight="1" x14ac:dyDescent="0.25">
      <c r="A51" s="17" t="s">
        <v>159</v>
      </c>
      <c r="B51" s="13" t="s">
        <v>160</v>
      </c>
      <c r="C51" s="15">
        <v>45121</v>
      </c>
      <c r="D51" s="18" t="s">
        <v>142</v>
      </c>
      <c r="H51" s="20" t="s">
        <v>139</v>
      </c>
    </row>
    <row r="52" spans="1:8" ht="15.75" customHeight="1" x14ac:dyDescent="0.25">
      <c r="A52" s="17" t="s">
        <v>161</v>
      </c>
      <c r="B52" s="13" t="s">
        <v>162</v>
      </c>
      <c r="C52" s="15">
        <v>45121</v>
      </c>
      <c r="D52" s="18" t="s">
        <v>142</v>
      </c>
      <c r="H52" s="20" t="s">
        <v>139</v>
      </c>
    </row>
    <row r="53" spans="1:8" ht="15.75" customHeight="1" x14ac:dyDescent="0.25">
      <c r="A53" s="17" t="s">
        <v>163</v>
      </c>
      <c r="B53" s="13" t="s">
        <v>164</v>
      </c>
      <c r="C53" s="15">
        <v>45121</v>
      </c>
      <c r="D53" s="18" t="s">
        <v>142</v>
      </c>
      <c r="H53" s="20" t="s">
        <v>139</v>
      </c>
    </row>
    <row r="54" spans="1:8" ht="15.75" customHeight="1" x14ac:dyDescent="0.25">
      <c r="A54" s="17" t="s">
        <v>165</v>
      </c>
      <c r="B54" s="13" t="s">
        <v>166</v>
      </c>
      <c r="C54" s="15">
        <v>45121</v>
      </c>
      <c r="D54" s="18" t="s">
        <v>142</v>
      </c>
      <c r="H54" s="20" t="s">
        <v>139</v>
      </c>
    </row>
    <row r="55" spans="1:8" ht="15.75" customHeight="1" x14ac:dyDescent="0.25">
      <c r="A55" s="17" t="s">
        <v>167</v>
      </c>
      <c r="B55" s="13" t="s">
        <v>168</v>
      </c>
      <c r="C55" s="15">
        <v>45121</v>
      </c>
      <c r="D55" s="18" t="s">
        <v>142</v>
      </c>
      <c r="H55" s="20" t="s">
        <v>139</v>
      </c>
    </row>
    <row r="56" spans="1:8" ht="15.75" customHeight="1" x14ac:dyDescent="0.25">
      <c r="A56" s="17" t="s">
        <v>169</v>
      </c>
      <c r="B56" s="13" t="s">
        <v>170</v>
      </c>
      <c r="C56" s="15">
        <v>45121</v>
      </c>
      <c r="D56" s="18" t="s">
        <v>142</v>
      </c>
      <c r="H56" s="20" t="s">
        <v>139</v>
      </c>
    </row>
    <row r="57" spans="1:8" ht="15.75" customHeight="1" x14ac:dyDescent="0.25">
      <c r="A57" s="17" t="s">
        <v>171</v>
      </c>
      <c r="B57" s="13" t="s">
        <v>172</v>
      </c>
      <c r="C57" s="15">
        <v>45121</v>
      </c>
      <c r="D57" s="18" t="s">
        <v>142</v>
      </c>
      <c r="H57" s="20" t="s">
        <v>139</v>
      </c>
    </row>
    <row r="58" spans="1:8" ht="15.75" customHeight="1" x14ac:dyDescent="0.25">
      <c r="A58" s="17" t="s">
        <v>173</v>
      </c>
      <c r="B58" s="13" t="s">
        <v>174</v>
      </c>
      <c r="C58" s="15">
        <v>45121</v>
      </c>
      <c r="D58" s="18" t="s">
        <v>142</v>
      </c>
      <c r="H58" s="20" t="s">
        <v>139</v>
      </c>
    </row>
    <row r="59" spans="1:8" ht="15.75" customHeight="1" x14ac:dyDescent="0.25">
      <c r="A59" s="17" t="s">
        <v>175</v>
      </c>
      <c r="B59" s="13" t="s">
        <v>176</v>
      </c>
      <c r="C59" s="15">
        <v>45121</v>
      </c>
      <c r="D59" s="18" t="s">
        <v>142</v>
      </c>
      <c r="H59" s="20" t="s">
        <v>139</v>
      </c>
    </row>
    <row r="60" spans="1:8" ht="15.75" customHeight="1" x14ac:dyDescent="0.25">
      <c r="A60" s="17" t="s">
        <v>177</v>
      </c>
      <c r="B60" s="17" t="s">
        <v>178</v>
      </c>
      <c r="C60" s="15">
        <v>45121</v>
      </c>
      <c r="D60" s="18" t="s">
        <v>142</v>
      </c>
      <c r="H60" s="20" t="s">
        <v>139</v>
      </c>
    </row>
    <row r="61" spans="1:8" ht="15.75" customHeight="1" x14ac:dyDescent="0.25">
      <c r="A61" s="17" t="s">
        <v>179</v>
      </c>
      <c r="B61" s="13" t="s">
        <v>180</v>
      </c>
      <c r="C61" s="15">
        <v>45121</v>
      </c>
      <c r="D61" s="18" t="s">
        <v>142</v>
      </c>
      <c r="H61" s="20" t="s">
        <v>139</v>
      </c>
    </row>
    <row r="62" spans="1:8" ht="15.75" customHeight="1" x14ac:dyDescent="0.25">
      <c r="A62" s="17" t="s">
        <v>181</v>
      </c>
      <c r="B62" s="17" t="s">
        <v>182</v>
      </c>
      <c r="C62" s="15">
        <v>45121</v>
      </c>
      <c r="D62" s="18" t="s">
        <v>142</v>
      </c>
      <c r="H62" s="20" t="s">
        <v>139</v>
      </c>
    </row>
    <row r="63" spans="1:8" ht="15.75" customHeight="1" x14ac:dyDescent="0.25">
      <c r="A63" s="17" t="s">
        <v>183</v>
      </c>
      <c r="B63" s="17" t="s">
        <v>184</v>
      </c>
      <c r="C63" s="15">
        <v>45121</v>
      </c>
      <c r="D63" s="18" t="s">
        <v>142</v>
      </c>
      <c r="H63" s="20" t="s">
        <v>139</v>
      </c>
    </row>
    <row r="64" spans="1:8" ht="15.75" customHeight="1" x14ac:dyDescent="0.25">
      <c r="A64" s="17" t="s">
        <v>185</v>
      </c>
      <c r="B64" s="17" t="s">
        <v>186</v>
      </c>
      <c r="C64" s="15">
        <v>45121</v>
      </c>
      <c r="D64" s="18" t="s">
        <v>142</v>
      </c>
      <c r="H64" s="20" t="s">
        <v>139</v>
      </c>
    </row>
    <row r="65" spans="1:8" ht="15.75" customHeight="1" x14ac:dyDescent="0.25">
      <c r="A65" s="17" t="s">
        <v>187</v>
      </c>
      <c r="B65" s="17" t="s">
        <v>188</v>
      </c>
      <c r="C65" s="15">
        <v>45121</v>
      </c>
      <c r="D65" s="18" t="s">
        <v>142</v>
      </c>
      <c r="H65" s="20" t="s">
        <v>139</v>
      </c>
    </row>
    <row r="66" spans="1:8" ht="15.75" customHeight="1" x14ac:dyDescent="0.25">
      <c r="A66" s="17" t="s">
        <v>189</v>
      </c>
      <c r="B66" s="17" t="s">
        <v>190</v>
      </c>
      <c r="C66" s="15">
        <v>45121</v>
      </c>
      <c r="D66" s="18" t="s">
        <v>8</v>
      </c>
      <c r="E66" s="18" t="s">
        <v>12</v>
      </c>
      <c r="H66" s="13" t="s">
        <v>9</v>
      </c>
    </row>
    <row r="67" spans="1:8" ht="15.75" customHeight="1" x14ac:dyDescent="0.25">
      <c r="A67" s="21" t="s">
        <v>193</v>
      </c>
      <c r="B67" s="13" t="s">
        <v>194</v>
      </c>
      <c r="C67" s="15">
        <v>45125</v>
      </c>
      <c r="D67" s="18" t="s">
        <v>142</v>
      </c>
      <c r="H67" s="20" t="s">
        <v>139</v>
      </c>
    </row>
    <row r="68" spans="1:8" ht="15.75" customHeight="1" x14ac:dyDescent="0.25">
      <c r="A68" s="17" t="s">
        <v>195</v>
      </c>
      <c r="B68" s="13" t="s">
        <v>196</v>
      </c>
      <c r="C68" s="15">
        <v>45125</v>
      </c>
      <c r="D68" s="18" t="s">
        <v>142</v>
      </c>
      <c r="H68" s="20" t="s">
        <v>139</v>
      </c>
    </row>
    <row r="69" spans="1:8" x14ac:dyDescent="0.25">
      <c r="A69" s="17" t="s">
        <v>197</v>
      </c>
      <c r="B69" s="13" t="s">
        <v>198</v>
      </c>
      <c r="C69" s="15">
        <v>45128</v>
      </c>
      <c r="D69" s="18" t="s">
        <v>142</v>
      </c>
      <c r="H69" s="20" t="s">
        <v>139</v>
      </c>
    </row>
    <row r="70" spans="1:8" ht="15.75" customHeight="1" x14ac:dyDescent="0.25">
      <c r="A70" s="17" t="s">
        <v>199</v>
      </c>
      <c r="B70" s="13" t="s">
        <v>200</v>
      </c>
      <c r="C70" s="15">
        <v>45132</v>
      </c>
      <c r="D70" s="13" t="s">
        <v>201</v>
      </c>
      <c r="E70" s="18"/>
      <c r="H70" s="13" t="s">
        <v>226</v>
      </c>
    </row>
    <row r="71" spans="1:8" ht="15.75" customHeight="1" x14ac:dyDescent="0.25">
      <c r="A71" s="17" t="s">
        <v>202</v>
      </c>
      <c r="B71" s="13" t="s">
        <v>203</v>
      </c>
      <c r="C71" s="15">
        <v>45132</v>
      </c>
      <c r="D71" s="13" t="s">
        <v>204</v>
      </c>
      <c r="E71" s="18"/>
      <c r="H71" s="20" t="s">
        <v>139</v>
      </c>
    </row>
    <row r="72" spans="1:8" ht="15.75" customHeight="1" x14ac:dyDescent="0.25">
      <c r="A72" s="17" t="s">
        <v>205</v>
      </c>
      <c r="B72" s="13" t="s">
        <v>206</v>
      </c>
      <c r="C72" s="15">
        <v>45132</v>
      </c>
      <c r="D72" s="18" t="s">
        <v>142</v>
      </c>
      <c r="E72" s="18"/>
      <c r="H72" s="20" t="s">
        <v>139</v>
      </c>
    </row>
    <row r="73" spans="1:8" ht="15.75" customHeight="1" x14ac:dyDescent="0.25">
      <c r="A73" s="17" t="s">
        <v>207</v>
      </c>
      <c r="B73" s="13" t="s">
        <v>208</v>
      </c>
      <c r="C73" s="15">
        <v>45132</v>
      </c>
      <c r="D73" s="13" t="s">
        <v>204</v>
      </c>
      <c r="E73" s="18"/>
      <c r="H73" s="20" t="s">
        <v>139</v>
      </c>
    </row>
    <row r="74" spans="1:8" ht="15.75" customHeight="1" x14ac:dyDescent="0.25">
      <c r="A74" s="17" t="s">
        <v>209</v>
      </c>
      <c r="B74" s="13" t="s">
        <v>210</v>
      </c>
      <c r="C74" s="15">
        <v>45135</v>
      </c>
      <c r="D74" s="18" t="s">
        <v>8</v>
      </c>
      <c r="E74" s="18"/>
      <c r="H74" s="13" t="s">
        <v>191</v>
      </c>
    </row>
    <row r="75" spans="1:8" ht="15.75" customHeight="1" x14ac:dyDescent="0.25">
      <c r="A75" s="17" t="s">
        <v>211</v>
      </c>
      <c r="B75" s="13" t="s">
        <v>212</v>
      </c>
      <c r="C75" s="15">
        <v>45140</v>
      </c>
      <c r="D75" s="18" t="s">
        <v>12</v>
      </c>
      <c r="E75" s="18" t="s">
        <v>8</v>
      </c>
      <c r="F75" s="18"/>
      <c r="H75" s="13" t="s">
        <v>9</v>
      </c>
    </row>
    <row r="76" spans="1:8" x14ac:dyDescent="0.25">
      <c r="A76" s="17" t="s">
        <v>213</v>
      </c>
      <c r="B76" s="13" t="s">
        <v>214</v>
      </c>
      <c r="C76" s="15">
        <v>45141</v>
      </c>
      <c r="D76" s="18" t="s">
        <v>12</v>
      </c>
      <c r="E76" s="18" t="s">
        <v>8</v>
      </c>
      <c r="F76" s="18"/>
      <c r="H76" s="13" t="s">
        <v>9</v>
      </c>
    </row>
    <row r="77" spans="1:8" ht="15.75" customHeight="1" x14ac:dyDescent="0.25">
      <c r="A77" s="17" t="s">
        <v>215</v>
      </c>
      <c r="B77" s="13" t="s">
        <v>214</v>
      </c>
      <c r="C77" s="15">
        <v>45142</v>
      </c>
      <c r="D77" s="18" t="s">
        <v>12</v>
      </c>
      <c r="E77" s="18" t="s">
        <v>8</v>
      </c>
      <c r="F77" s="18"/>
      <c r="H77" s="13" t="s">
        <v>9</v>
      </c>
    </row>
    <row r="78" spans="1:8" ht="15.75" customHeight="1" x14ac:dyDescent="0.25">
      <c r="A78" s="17" t="s">
        <v>216</v>
      </c>
      <c r="B78" s="13" t="s">
        <v>217</v>
      </c>
      <c r="C78" s="15">
        <v>45145</v>
      </c>
      <c r="D78" s="18" t="s">
        <v>12</v>
      </c>
      <c r="E78" s="18" t="s">
        <v>8</v>
      </c>
      <c r="H78" s="13" t="s">
        <v>9</v>
      </c>
    </row>
    <row r="79" spans="1:8" ht="15.75" customHeight="1" x14ac:dyDescent="0.25">
      <c r="A79" s="17" t="s">
        <v>218</v>
      </c>
      <c r="B79" s="13" t="s">
        <v>219</v>
      </c>
      <c r="C79" s="15">
        <v>45145</v>
      </c>
      <c r="D79" s="18" t="s">
        <v>12</v>
      </c>
      <c r="E79" s="18" t="s">
        <v>8</v>
      </c>
      <c r="F79" s="18"/>
      <c r="H79" s="13" t="s">
        <v>9</v>
      </c>
    </row>
    <row r="80" spans="1:8" ht="15.75" customHeight="1" x14ac:dyDescent="0.25">
      <c r="A80" s="17" t="s">
        <v>220</v>
      </c>
      <c r="B80" s="13" t="s">
        <v>221</v>
      </c>
      <c r="C80" s="15">
        <v>45145</v>
      </c>
      <c r="D80" s="18" t="s">
        <v>12</v>
      </c>
      <c r="E80" s="18" t="s">
        <v>8</v>
      </c>
      <c r="F80" s="18"/>
      <c r="H80" s="13" t="s">
        <v>9</v>
      </c>
    </row>
    <row r="81" spans="1:8" ht="15.75" customHeight="1" x14ac:dyDescent="0.25">
      <c r="A81" s="17" t="s">
        <v>222</v>
      </c>
      <c r="B81" s="13" t="s">
        <v>223</v>
      </c>
      <c r="C81" s="15">
        <v>45145</v>
      </c>
      <c r="D81" s="18" t="s">
        <v>12</v>
      </c>
      <c r="E81" s="14" t="s">
        <v>8</v>
      </c>
      <c r="F81" s="14"/>
      <c r="H81" s="13" t="s">
        <v>9</v>
      </c>
    </row>
    <row r="82" spans="1:8" ht="15.75" customHeight="1" x14ac:dyDescent="0.25">
      <c r="A82" s="17" t="s">
        <v>224</v>
      </c>
      <c r="B82" s="13" t="s">
        <v>225</v>
      </c>
      <c r="C82" s="15">
        <v>45147</v>
      </c>
      <c r="D82" s="18" t="s">
        <v>12</v>
      </c>
      <c r="E82" s="14" t="s">
        <v>8</v>
      </c>
      <c r="F82" s="14"/>
      <c r="H82" s="13" t="s">
        <v>9</v>
      </c>
    </row>
    <row r="83" spans="1:8" ht="15.75" customHeight="1" x14ac:dyDescent="0.25">
      <c r="A83" s="17" t="s">
        <v>227</v>
      </c>
      <c r="B83" s="13" t="s">
        <v>228</v>
      </c>
      <c r="C83" s="15">
        <v>45149</v>
      </c>
      <c r="D83" s="18" t="s">
        <v>12</v>
      </c>
      <c r="E83" s="14" t="s">
        <v>8</v>
      </c>
      <c r="F83" s="14"/>
      <c r="H83" s="13" t="s">
        <v>9</v>
      </c>
    </row>
    <row r="84" spans="1:8" ht="15.75" customHeight="1" x14ac:dyDescent="0.25">
      <c r="A84" s="17" t="s">
        <v>229</v>
      </c>
      <c r="B84" s="17" t="s">
        <v>230</v>
      </c>
      <c r="C84" s="15">
        <v>45153</v>
      </c>
      <c r="D84" s="14" t="s">
        <v>19</v>
      </c>
      <c r="E84" s="14" t="s">
        <v>8</v>
      </c>
      <c r="F84" s="14"/>
      <c r="H84" s="13" t="s">
        <v>226</v>
      </c>
    </row>
    <row r="85" spans="1:8" ht="15.75" customHeight="1" x14ac:dyDescent="0.25">
      <c r="A85" s="17" t="s">
        <v>231</v>
      </c>
      <c r="B85" s="17" t="s">
        <v>232</v>
      </c>
      <c r="C85" s="15">
        <v>45153</v>
      </c>
      <c r="D85" s="14" t="s">
        <v>19</v>
      </c>
      <c r="E85" s="14" t="s">
        <v>8</v>
      </c>
      <c r="F85" s="14"/>
      <c r="H85" s="13" t="s">
        <v>226</v>
      </c>
    </row>
    <row r="86" spans="1:8" ht="15.75" customHeight="1" x14ac:dyDescent="0.25">
      <c r="A86" s="17" t="s">
        <v>233</v>
      </c>
      <c r="B86" s="17" t="s">
        <v>234</v>
      </c>
      <c r="C86" s="15">
        <v>45154</v>
      </c>
      <c r="D86" s="14" t="s">
        <v>19</v>
      </c>
      <c r="E86" s="14" t="s">
        <v>8</v>
      </c>
      <c r="F86" s="14"/>
      <c r="H86" s="13" t="s">
        <v>226</v>
      </c>
    </row>
    <row r="87" spans="1:8" ht="15.75" customHeight="1" x14ac:dyDescent="0.25">
      <c r="A87" s="17" t="s">
        <v>235</v>
      </c>
      <c r="B87" s="23" t="s">
        <v>236</v>
      </c>
      <c r="C87" s="15">
        <v>45160</v>
      </c>
      <c r="D87" s="14" t="s">
        <v>8</v>
      </c>
      <c r="E87" s="14"/>
      <c r="F87" s="14"/>
      <c r="H87" s="13" t="s">
        <v>191</v>
      </c>
    </row>
    <row r="88" spans="1:8" ht="15.75" customHeight="1" x14ac:dyDescent="0.25">
      <c r="A88" s="17" t="s">
        <v>237</v>
      </c>
      <c r="B88" s="13" t="s">
        <v>238</v>
      </c>
      <c r="C88" s="15">
        <v>45160</v>
      </c>
      <c r="D88" s="14" t="s">
        <v>19</v>
      </c>
      <c r="E88" s="14" t="s">
        <v>8</v>
      </c>
      <c r="F88" s="14"/>
      <c r="H88" s="13" t="s">
        <v>226</v>
      </c>
    </row>
    <row r="89" spans="1:8" ht="15.75" customHeight="1" x14ac:dyDescent="0.25">
      <c r="A89" s="17" t="s">
        <v>239</v>
      </c>
      <c r="B89" s="17" t="s">
        <v>240</v>
      </c>
      <c r="C89" s="15">
        <v>45160</v>
      </c>
      <c r="D89" s="14" t="s">
        <v>19</v>
      </c>
      <c r="E89" s="14" t="s">
        <v>8</v>
      </c>
      <c r="F89" s="14"/>
      <c r="H89" s="13" t="s">
        <v>226</v>
      </c>
    </row>
    <row r="90" spans="1:8" ht="15.75" customHeight="1" x14ac:dyDescent="0.25">
      <c r="A90" s="17" t="s">
        <v>241</v>
      </c>
      <c r="B90" s="17" t="s">
        <v>242</v>
      </c>
      <c r="C90" s="15">
        <v>45160</v>
      </c>
      <c r="D90" s="14" t="s">
        <v>8</v>
      </c>
      <c r="E90" s="18"/>
      <c r="F90" s="14"/>
      <c r="H90" s="13" t="s">
        <v>191</v>
      </c>
    </row>
    <row r="91" spans="1:8" ht="15.75" customHeight="1" x14ac:dyDescent="0.25">
      <c r="A91" s="17" t="s">
        <v>243</v>
      </c>
      <c r="B91" s="17" t="s">
        <v>244</v>
      </c>
      <c r="C91" s="15">
        <v>45160</v>
      </c>
      <c r="D91" s="14" t="s">
        <v>19</v>
      </c>
      <c r="E91" s="14" t="s">
        <v>8</v>
      </c>
      <c r="F91" s="14"/>
      <c r="H91" s="13" t="s">
        <v>226</v>
      </c>
    </row>
    <row r="92" spans="1:8" ht="15.75" customHeight="1" x14ac:dyDescent="0.25">
      <c r="A92" s="17" t="s">
        <v>245</v>
      </c>
      <c r="B92" s="17" t="s">
        <v>246</v>
      </c>
      <c r="C92" s="15">
        <v>45162</v>
      </c>
      <c r="D92" s="14" t="s">
        <v>19</v>
      </c>
      <c r="E92" s="14" t="s">
        <v>8</v>
      </c>
      <c r="F92" s="14"/>
      <c r="H92" s="13" t="s">
        <v>226</v>
      </c>
    </row>
    <row r="93" spans="1:8" ht="15.75" customHeight="1" x14ac:dyDescent="0.25">
      <c r="A93" s="17" t="s">
        <v>247</v>
      </c>
      <c r="B93" s="17" t="s">
        <v>248</v>
      </c>
      <c r="C93" s="15">
        <v>45162</v>
      </c>
      <c r="D93" s="14" t="s">
        <v>8</v>
      </c>
      <c r="E93" s="18"/>
      <c r="F93" s="14"/>
      <c r="H93" s="13" t="s">
        <v>191</v>
      </c>
    </row>
    <row r="94" spans="1:8" ht="15.75" customHeight="1" x14ac:dyDescent="0.25">
      <c r="A94" s="17" t="s">
        <v>249</v>
      </c>
      <c r="B94" s="17" t="s">
        <v>250</v>
      </c>
      <c r="C94" s="15">
        <v>45163</v>
      </c>
      <c r="D94" s="14" t="s">
        <v>19</v>
      </c>
      <c r="E94" s="14" t="s">
        <v>8</v>
      </c>
      <c r="F94" s="14"/>
      <c r="H94" s="13" t="s">
        <v>226</v>
      </c>
    </row>
    <row r="95" spans="1:8" ht="15.75" customHeight="1" x14ac:dyDescent="0.25">
      <c r="A95" s="17" t="s">
        <v>251</v>
      </c>
      <c r="B95" s="17" t="s">
        <v>252</v>
      </c>
      <c r="C95" s="15">
        <v>45163</v>
      </c>
      <c r="D95" s="14" t="s">
        <v>8</v>
      </c>
      <c r="E95" s="18"/>
      <c r="F95" s="14"/>
      <c r="H95" s="13" t="s">
        <v>191</v>
      </c>
    </row>
    <row r="96" spans="1:8" ht="15.75" customHeight="1" x14ac:dyDescent="0.25">
      <c r="A96" s="17" t="s">
        <v>253</v>
      </c>
      <c r="B96" s="17" t="s">
        <v>254</v>
      </c>
      <c r="C96" s="15">
        <v>45163</v>
      </c>
      <c r="D96" s="14" t="s">
        <v>19</v>
      </c>
      <c r="E96" s="14" t="s">
        <v>8</v>
      </c>
      <c r="F96" s="14"/>
      <c r="H96" s="13" t="s">
        <v>226</v>
      </c>
    </row>
    <row r="97" spans="1:8" ht="15.75" customHeight="1" x14ac:dyDescent="0.25">
      <c r="A97" s="17" t="s">
        <v>255</v>
      </c>
      <c r="B97" s="17" t="s">
        <v>256</v>
      </c>
      <c r="C97" s="15">
        <v>45166</v>
      </c>
      <c r="D97" s="14" t="s">
        <v>8</v>
      </c>
      <c r="E97" s="18"/>
      <c r="F97" s="14"/>
      <c r="H97" s="13" t="s">
        <v>191</v>
      </c>
    </row>
    <row r="98" spans="1:8" ht="15.75" customHeight="1" x14ac:dyDescent="0.25">
      <c r="A98" s="17" t="s">
        <v>257</v>
      </c>
      <c r="B98" s="17" t="s">
        <v>258</v>
      </c>
      <c r="C98" s="15">
        <v>45166</v>
      </c>
      <c r="D98" s="14" t="s">
        <v>8</v>
      </c>
      <c r="E98" s="18" t="s">
        <v>16</v>
      </c>
      <c r="F98" s="14"/>
      <c r="H98" s="13" t="s">
        <v>191</v>
      </c>
    </row>
    <row r="99" spans="1:8" ht="15.75" customHeight="1" x14ac:dyDescent="0.25">
      <c r="A99" s="17" t="s">
        <v>259</v>
      </c>
      <c r="B99" s="17" t="s">
        <v>260</v>
      </c>
      <c r="C99" s="15">
        <v>45166</v>
      </c>
      <c r="D99" s="14" t="s">
        <v>8</v>
      </c>
      <c r="E99" s="18"/>
      <c r="F99" s="14"/>
      <c r="H99" s="13" t="s">
        <v>191</v>
      </c>
    </row>
    <row r="100" spans="1:8" ht="15.75" customHeight="1" x14ac:dyDescent="0.25">
      <c r="A100" s="17" t="s">
        <v>262</v>
      </c>
      <c r="B100" s="17" t="s">
        <v>261</v>
      </c>
      <c r="C100" s="15">
        <v>45167</v>
      </c>
      <c r="D100" s="14" t="s">
        <v>8</v>
      </c>
      <c r="E100" s="18"/>
      <c r="F100" s="14"/>
      <c r="H100" s="13" t="s">
        <v>191</v>
      </c>
    </row>
    <row r="101" spans="1:8" ht="15.75" customHeight="1" x14ac:dyDescent="0.25">
      <c r="A101" s="17" t="s">
        <v>264</v>
      </c>
      <c r="B101" s="17" t="s">
        <v>263</v>
      </c>
      <c r="C101" s="15">
        <v>45168</v>
      </c>
      <c r="D101" s="14" t="s">
        <v>8</v>
      </c>
      <c r="E101" s="18"/>
      <c r="F101" s="14"/>
      <c r="H101" s="13" t="s">
        <v>191</v>
      </c>
    </row>
    <row r="102" spans="1:8" ht="15.75" customHeight="1" x14ac:dyDescent="0.25">
      <c r="A102" s="17" t="s">
        <v>265</v>
      </c>
      <c r="B102" s="17" t="s">
        <v>266</v>
      </c>
      <c r="C102" s="15">
        <v>45169</v>
      </c>
      <c r="D102" s="14" t="s">
        <v>19</v>
      </c>
      <c r="E102" s="14" t="s">
        <v>8</v>
      </c>
      <c r="F102" s="14"/>
      <c r="H102" s="13" t="s">
        <v>226</v>
      </c>
    </row>
    <row r="103" spans="1:8" ht="15.75" customHeight="1" x14ac:dyDescent="0.25">
      <c r="A103" s="17" t="s">
        <v>267</v>
      </c>
      <c r="B103" s="17" t="s">
        <v>268</v>
      </c>
      <c r="C103" s="15">
        <v>45170</v>
      </c>
      <c r="D103" s="14" t="s">
        <v>8</v>
      </c>
      <c r="E103" s="18"/>
      <c r="F103" s="14"/>
      <c r="H103" s="13" t="s">
        <v>191</v>
      </c>
    </row>
    <row r="104" spans="1:8" ht="15.75" customHeight="1" x14ac:dyDescent="0.25">
      <c r="A104" s="17" t="s">
        <v>269</v>
      </c>
      <c r="B104" s="17" t="s">
        <v>270</v>
      </c>
      <c r="C104" s="15">
        <v>45173</v>
      </c>
      <c r="D104" s="22" t="s">
        <v>12</v>
      </c>
      <c r="E104" s="14" t="s">
        <v>8</v>
      </c>
      <c r="F104" s="14"/>
      <c r="H104" s="13" t="s">
        <v>9</v>
      </c>
    </row>
    <row r="105" spans="1:8" ht="15.75" customHeight="1" x14ac:dyDescent="0.25">
      <c r="A105" s="17" t="s">
        <v>271</v>
      </c>
      <c r="B105" s="17" t="s">
        <v>272</v>
      </c>
      <c r="C105" s="15">
        <v>45175</v>
      </c>
      <c r="D105" s="22" t="s">
        <v>12</v>
      </c>
      <c r="E105" s="14" t="s">
        <v>8</v>
      </c>
      <c r="F105" s="14"/>
      <c r="H105" s="13" t="s">
        <v>9</v>
      </c>
    </row>
    <row r="106" spans="1:8" ht="15.75" customHeight="1" x14ac:dyDescent="0.25">
      <c r="A106" s="17" t="s">
        <v>273</v>
      </c>
      <c r="B106" s="17" t="s">
        <v>274</v>
      </c>
      <c r="C106" s="15">
        <v>45177</v>
      </c>
      <c r="D106" s="14" t="s">
        <v>19</v>
      </c>
      <c r="E106" s="14" t="s">
        <v>8</v>
      </c>
      <c r="F106" s="14"/>
      <c r="H106" s="13" t="s">
        <v>226</v>
      </c>
    </row>
    <row r="107" spans="1:8" ht="15.75" customHeight="1" x14ac:dyDescent="0.25">
      <c r="A107" s="17" t="s">
        <v>275</v>
      </c>
      <c r="B107" s="17" t="s">
        <v>276</v>
      </c>
      <c r="C107" s="15">
        <v>45177</v>
      </c>
      <c r="D107" s="14" t="s">
        <v>19</v>
      </c>
      <c r="E107" s="14" t="s">
        <v>8</v>
      </c>
      <c r="F107" s="14"/>
      <c r="H107" s="13" t="s">
        <v>226</v>
      </c>
    </row>
    <row r="108" spans="1:8" ht="15.75" customHeight="1" x14ac:dyDescent="0.25">
      <c r="A108" s="17" t="s">
        <v>277</v>
      </c>
      <c r="B108" s="17" t="s">
        <v>278</v>
      </c>
      <c r="C108" s="15">
        <v>45177</v>
      </c>
      <c r="D108" s="14" t="s">
        <v>19</v>
      </c>
      <c r="E108" s="14" t="s">
        <v>8</v>
      </c>
      <c r="F108" s="14"/>
      <c r="H108" s="13" t="s">
        <v>226</v>
      </c>
    </row>
    <row r="109" spans="1:8" ht="15.75" customHeight="1" x14ac:dyDescent="0.25">
      <c r="A109" s="17" t="s">
        <v>279</v>
      </c>
      <c r="B109" s="17" t="s">
        <v>280</v>
      </c>
      <c r="C109" s="15">
        <v>45180</v>
      </c>
      <c r="D109" s="14" t="s">
        <v>19</v>
      </c>
      <c r="E109" s="14" t="s">
        <v>8</v>
      </c>
      <c r="F109" s="14"/>
      <c r="H109" s="13" t="s">
        <v>226</v>
      </c>
    </row>
    <row r="110" spans="1:8" ht="15.75" customHeight="1" x14ac:dyDescent="0.25">
      <c r="A110" s="17" t="s">
        <v>281</v>
      </c>
      <c r="B110" s="17" t="s">
        <v>282</v>
      </c>
      <c r="C110" s="15">
        <v>45180</v>
      </c>
      <c r="D110" s="14" t="s">
        <v>19</v>
      </c>
      <c r="E110" s="14" t="s">
        <v>8</v>
      </c>
      <c r="F110" s="14"/>
      <c r="H110" s="13" t="s">
        <v>226</v>
      </c>
    </row>
    <row r="111" spans="1:8" ht="15.75" customHeight="1" x14ac:dyDescent="0.25">
      <c r="A111" s="17" t="s">
        <v>284</v>
      </c>
      <c r="B111" s="17" t="s">
        <v>283</v>
      </c>
      <c r="C111" s="15">
        <v>45181</v>
      </c>
      <c r="D111" s="14" t="s">
        <v>8</v>
      </c>
      <c r="E111" s="14"/>
      <c r="F111" s="14"/>
      <c r="H111" s="13" t="s">
        <v>191</v>
      </c>
    </row>
    <row r="112" spans="1:8" ht="15.75" customHeight="1" x14ac:dyDescent="0.25">
      <c r="A112" s="17" t="s">
        <v>285</v>
      </c>
      <c r="B112" s="17" t="s">
        <v>286</v>
      </c>
      <c r="C112" s="15">
        <v>45187</v>
      </c>
      <c r="D112" s="14" t="s">
        <v>8</v>
      </c>
      <c r="E112" s="14"/>
      <c r="F112" s="14"/>
      <c r="H112" s="13" t="s">
        <v>191</v>
      </c>
    </row>
    <row r="113" spans="1:8" ht="15.75" customHeight="1" x14ac:dyDescent="0.25">
      <c r="A113" s="17" t="s">
        <v>287</v>
      </c>
      <c r="B113" s="17" t="s">
        <v>288</v>
      </c>
      <c r="C113" s="15">
        <v>45187</v>
      </c>
      <c r="D113" s="14" t="s">
        <v>8</v>
      </c>
      <c r="E113" s="14"/>
      <c r="F113" s="14"/>
      <c r="H113" s="13" t="s">
        <v>191</v>
      </c>
    </row>
    <row r="114" spans="1:8" ht="15.75" customHeight="1" x14ac:dyDescent="0.25">
      <c r="A114" s="17" t="s">
        <v>289</v>
      </c>
      <c r="B114" s="17" t="s">
        <v>290</v>
      </c>
      <c r="C114" s="15">
        <v>45188</v>
      </c>
      <c r="D114" s="14" t="s">
        <v>8</v>
      </c>
      <c r="E114" s="14"/>
      <c r="F114" s="14"/>
      <c r="H114" s="13" t="s">
        <v>191</v>
      </c>
    </row>
    <row r="115" spans="1:8" ht="15.75" customHeight="1" x14ac:dyDescent="0.25">
      <c r="A115" s="17" t="s">
        <v>291</v>
      </c>
      <c r="B115" s="17" t="s">
        <v>292</v>
      </c>
      <c r="C115" s="15">
        <v>45189</v>
      </c>
      <c r="D115" s="14" t="s">
        <v>8</v>
      </c>
      <c r="E115" s="14"/>
      <c r="F115" s="14"/>
      <c r="H115" s="13" t="s">
        <v>191</v>
      </c>
    </row>
    <row r="116" spans="1:8" ht="15.75" customHeight="1" x14ac:dyDescent="0.25">
      <c r="A116" s="17" t="s">
        <v>293</v>
      </c>
      <c r="B116" s="17" t="s">
        <v>294</v>
      </c>
      <c r="C116" s="15">
        <v>45195</v>
      </c>
      <c r="D116" s="14" t="s">
        <v>8</v>
      </c>
      <c r="E116" s="14"/>
      <c r="F116" s="14"/>
      <c r="H116" s="13" t="s">
        <v>191</v>
      </c>
    </row>
    <row r="117" spans="1:8" ht="15.75" customHeight="1" x14ac:dyDescent="0.25">
      <c r="A117" s="17" t="s">
        <v>295</v>
      </c>
      <c r="B117" s="17" t="s">
        <v>296</v>
      </c>
      <c r="C117" s="15">
        <v>45195</v>
      </c>
      <c r="D117" s="14" t="s">
        <v>8</v>
      </c>
      <c r="E117" s="14"/>
      <c r="F117" s="14"/>
      <c r="H117" s="13" t="s">
        <v>191</v>
      </c>
    </row>
    <row r="118" spans="1:8" ht="15.75" customHeight="1" x14ac:dyDescent="0.25">
      <c r="A118" s="17" t="s">
        <v>297</v>
      </c>
      <c r="B118" s="17" t="s">
        <v>298</v>
      </c>
      <c r="C118" s="15">
        <v>45196</v>
      </c>
      <c r="D118" s="14" t="s">
        <v>8</v>
      </c>
      <c r="E118" s="14"/>
      <c r="F118" s="14"/>
      <c r="H118" s="13" t="s">
        <v>191</v>
      </c>
    </row>
    <row r="119" spans="1:8" ht="15.75" customHeight="1" x14ac:dyDescent="0.25">
      <c r="A119" s="17" t="s">
        <v>299</v>
      </c>
      <c r="B119" s="17" t="s">
        <v>300</v>
      </c>
      <c r="C119" s="15">
        <v>45196</v>
      </c>
      <c r="D119" s="14" t="s">
        <v>8</v>
      </c>
      <c r="E119" s="14"/>
      <c r="F119" s="14"/>
      <c r="H119" s="13" t="s">
        <v>191</v>
      </c>
    </row>
    <row r="120" spans="1:8" ht="15.75" customHeight="1" x14ac:dyDescent="0.25">
      <c r="A120" s="17" t="s">
        <v>301</v>
      </c>
      <c r="B120" s="17" t="s">
        <v>302</v>
      </c>
      <c r="C120" s="15">
        <v>45203</v>
      </c>
      <c r="D120" s="14" t="s">
        <v>8</v>
      </c>
      <c r="E120" s="14"/>
      <c r="F120" s="14"/>
      <c r="H120" s="13" t="s">
        <v>191</v>
      </c>
    </row>
    <row r="121" spans="1:8" ht="15.75" customHeight="1" x14ac:dyDescent="0.25">
      <c r="A121" s="17" t="s">
        <v>304</v>
      </c>
      <c r="B121" s="17" t="s">
        <v>303</v>
      </c>
      <c r="C121" s="15">
        <v>45203</v>
      </c>
      <c r="D121" s="14" t="s">
        <v>19</v>
      </c>
      <c r="E121" s="14" t="s">
        <v>8</v>
      </c>
      <c r="F121" s="14"/>
      <c r="H121" s="13" t="s">
        <v>226</v>
      </c>
    </row>
    <row r="122" spans="1:8" ht="15.75" customHeight="1" x14ac:dyDescent="0.25">
      <c r="A122" s="17" t="s">
        <v>305</v>
      </c>
      <c r="B122" s="17" t="s">
        <v>306</v>
      </c>
      <c r="C122" s="15">
        <v>45205</v>
      </c>
      <c r="D122" s="22" t="s">
        <v>8</v>
      </c>
      <c r="E122" s="14"/>
      <c r="F122" s="14"/>
      <c r="H122" s="13" t="s">
        <v>191</v>
      </c>
    </row>
    <row r="123" spans="1:8" ht="15.75" customHeight="1" x14ac:dyDescent="0.25">
      <c r="A123" s="17" t="s">
        <v>307</v>
      </c>
      <c r="B123" s="17" t="s">
        <v>308</v>
      </c>
      <c r="C123" s="15">
        <v>45205</v>
      </c>
      <c r="D123" s="22" t="s">
        <v>8</v>
      </c>
      <c r="E123" s="14"/>
      <c r="F123" s="14"/>
      <c r="H123" s="13" t="s">
        <v>191</v>
      </c>
    </row>
    <row r="124" spans="1:8" ht="15.75" customHeight="1" x14ac:dyDescent="0.25">
      <c r="A124" s="17" t="s">
        <v>309</v>
      </c>
      <c r="B124" s="17" t="s">
        <v>310</v>
      </c>
      <c r="C124" s="15">
        <v>45205</v>
      </c>
      <c r="D124" s="22" t="s">
        <v>8</v>
      </c>
      <c r="E124" s="14"/>
      <c r="F124" s="14"/>
      <c r="H124" s="13" t="s">
        <v>191</v>
      </c>
    </row>
    <row r="125" spans="1:8" ht="15.75" customHeight="1" x14ac:dyDescent="0.25">
      <c r="A125" s="17" t="s">
        <v>311</v>
      </c>
      <c r="B125" s="17" t="s">
        <v>312</v>
      </c>
      <c r="C125" s="15">
        <v>45208</v>
      </c>
      <c r="D125" s="22" t="s">
        <v>8</v>
      </c>
      <c r="E125" s="14"/>
      <c r="F125" s="14"/>
      <c r="H125" s="13" t="s">
        <v>191</v>
      </c>
    </row>
    <row r="126" spans="1:8" ht="15.75" customHeight="1" x14ac:dyDescent="0.25">
      <c r="A126" s="17" t="s">
        <v>313</v>
      </c>
      <c r="B126" s="17" t="s">
        <v>314</v>
      </c>
      <c r="C126" s="15">
        <v>45210</v>
      </c>
      <c r="D126" s="22" t="s">
        <v>8</v>
      </c>
      <c r="E126" s="14"/>
      <c r="F126" s="14"/>
      <c r="H126" s="13" t="s">
        <v>191</v>
      </c>
    </row>
    <row r="127" spans="1:8" ht="15.75" customHeight="1" x14ac:dyDescent="0.25">
      <c r="A127" s="25" t="s">
        <v>315</v>
      </c>
      <c r="B127" s="25" t="s">
        <v>316</v>
      </c>
      <c r="C127" s="15">
        <v>45222</v>
      </c>
      <c r="D127" s="14" t="s">
        <v>19</v>
      </c>
      <c r="E127" s="14" t="s">
        <v>8</v>
      </c>
      <c r="F127" s="14"/>
      <c r="H127" s="13" t="s">
        <v>226</v>
      </c>
    </row>
    <row r="128" spans="1:8" ht="15.75" customHeight="1" x14ac:dyDescent="0.25">
      <c r="A128" s="25" t="s">
        <v>317</v>
      </c>
      <c r="B128" s="25" t="s">
        <v>318</v>
      </c>
      <c r="C128" s="15">
        <v>45224</v>
      </c>
      <c r="D128" s="14" t="s">
        <v>19</v>
      </c>
      <c r="E128" s="22" t="s">
        <v>8</v>
      </c>
      <c r="F128" s="14"/>
      <c r="H128" s="13" t="s">
        <v>226</v>
      </c>
    </row>
    <row r="129" spans="1:10" ht="15.75" customHeight="1" x14ac:dyDescent="0.25">
      <c r="A129" s="25" t="s">
        <v>319</v>
      </c>
      <c r="B129" s="25" t="s">
        <v>320</v>
      </c>
      <c r="C129" s="15">
        <v>45224</v>
      </c>
      <c r="D129" s="26" t="s">
        <v>12</v>
      </c>
      <c r="E129" s="24" t="s">
        <v>8</v>
      </c>
      <c r="F129" s="14"/>
      <c r="H129" s="13" t="s">
        <v>9</v>
      </c>
    </row>
    <row r="130" spans="1:10" ht="15.75" customHeight="1" x14ac:dyDescent="0.25">
      <c r="A130" s="25" t="s">
        <v>321</v>
      </c>
      <c r="B130" s="25" t="s">
        <v>322</v>
      </c>
      <c r="C130" s="15">
        <v>45237</v>
      </c>
      <c r="D130" s="24" t="s">
        <v>8</v>
      </c>
      <c r="E130" s="22"/>
      <c r="F130" s="14"/>
      <c r="H130" s="13" t="s">
        <v>191</v>
      </c>
    </row>
    <row r="131" spans="1:10" ht="15.75" customHeight="1" x14ac:dyDescent="0.25">
      <c r="A131" s="25" t="s">
        <v>323</v>
      </c>
      <c r="B131" s="25" t="s">
        <v>324</v>
      </c>
      <c r="C131" s="15">
        <v>45240</v>
      </c>
      <c r="D131" s="24" t="s">
        <v>8</v>
      </c>
      <c r="E131" s="22"/>
      <c r="F131" s="14"/>
      <c r="H131" s="13" t="s">
        <v>191</v>
      </c>
    </row>
    <row r="132" spans="1:10" ht="15.75" customHeight="1" x14ac:dyDescent="0.25">
      <c r="A132" s="25" t="s">
        <v>325</v>
      </c>
      <c r="B132" s="25" t="s">
        <v>326</v>
      </c>
      <c r="C132" s="15">
        <v>45244</v>
      </c>
      <c r="D132" s="24" t="s">
        <v>8</v>
      </c>
      <c r="E132" s="22"/>
      <c r="F132" s="14"/>
      <c r="H132" s="13" t="s">
        <v>191</v>
      </c>
    </row>
    <row r="133" spans="1:10" ht="15.75" customHeight="1" x14ac:dyDescent="0.25">
      <c r="A133" s="25" t="s">
        <v>327</v>
      </c>
      <c r="B133" s="25" t="s">
        <v>328</v>
      </c>
      <c r="C133" s="15">
        <v>45260</v>
      </c>
      <c r="D133" s="14" t="s">
        <v>19</v>
      </c>
      <c r="E133" s="27" t="s">
        <v>8</v>
      </c>
      <c r="F133" s="14"/>
      <c r="H133" s="13" t="s">
        <v>226</v>
      </c>
    </row>
    <row r="134" spans="1:10" ht="15.75" customHeight="1" x14ac:dyDescent="0.25">
      <c r="A134" s="25" t="s">
        <v>329</v>
      </c>
      <c r="B134" s="25" t="s">
        <v>330</v>
      </c>
      <c r="C134" s="15">
        <v>45261</v>
      </c>
      <c r="D134" s="27" t="s">
        <v>8</v>
      </c>
      <c r="E134" s="22"/>
      <c r="F134" s="14"/>
      <c r="H134" s="13" t="s">
        <v>191</v>
      </c>
    </row>
    <row r="135" spans="1:10" ht="15.75" customHeight="1" x14ac:dyDescent="0.25">
      <c r="A135" s="25" t="s">
        <v>331</v>
      </c>
      <c r="B135" s="25" t="s">
        <v>332</v>
      </c>
      <c r="C135" s="15">
        <v>45274</v>
      </c>
      <c r="D135" s="27" t="s">
        <v>19</v>
      </c>
      <c r="E135" s="27" t="s">
        <v>8</v>
      </c>
      <c r="F135" s="14"/>
      <c r="H135" s="13" t="s">
        <v>226</v>
      </c>
    </row>
    <row r="136" spans="1:10" ht="15.75" customHeight="1" x14ac:dyDescent="0.25">
      <c r="A136" s="25" t="s">
        <v>333</v>
      </c>
      <c r="B136" s="25" t="s">
        <v>334</v>
      </c>
      <c r="C136" s="15">
        <v>45278</v>
      </c>
      <c r="D136" s="27" t="s">
        <v>8</v>
      </c>
      <c r="E136" s="22"/>
      <c r="F136" s="14"/>
      <c r="H136" s="13" t="s">
        <v>191</v>
      </c>
    </row>
    <row r="137" spans="1:10" ht="15.75" customHeight="1" x14ac:dyDescent="0.25">
      <c r="A137" s="25" t="s">
        <v>335</v>
      </c>
      <c r="B137" s="25" t="s">
        <v>336</v>
      </c>
      <c r="C137" s="15">
        <v>45310</v>
      </c>
      <c r="D137" s="27" t="s">
        <v>8</v>
      </c>
      <c r="E137" s="22"/>
      <c r="F137" s="14"/>
      <c r="H137" s="13" t="s">
        <v>191</v>
      </c>
    </row>
    <row r="138" spans="1:10" ht="15.75" customHeight="1" x14ac:dyDescent="0.25">
      <c r="A138" s="13">
        <f>SUBTOTAL(103,Table_3[Cliente])</f>
        <v>136</v>
      </c>
      <c r="J138" s="13">
        <f>SUBTOTAL(103,'Cálculos Enviados'!$J$2:$J$39)</f>
        <v>38</v>
      </c>
    </row>
    <row r="139" spans="1:10" ht="15.75" customHeight="1" x14ac:dyDescent="0.25"/>
    <row r="140" spans="1:10" ht="15.75" customHeight="1" x14ac:dyDescent="0.25"/>
    <row r="141" spans="1:10" ht="15.75" customHeight="1" x14ac:dyDescent="0.25"/>
    <row r="142" spans="1:10" ht="15.75" customHeight="1" x14ac:dyDescent="0.25"/>
    <row r="143" spans="1:10" ht="15.75" customHeight="1" x14ac:dyDescent="0.25"/>
    <row r="144" spans="1:10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</sheetData>
  <pageMargins left="0.511811024" right="0.511811024" top="0.78740157499999996" bottom="0.78740157499999996" header="0" footer="0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A10" sqref="A10"/>
    </sheetView>
  </sheetViews>
  <sheetFormatPr defaultRowHeight="15" x14ac:dyDescent="0.25"/>
  <cols>
    <col min="1" max="1" width="18" bestFit="1" customWidth="1"/>
    <col min="2" max="3" width="23.7109375" bestFit="1" customWidth="1"/>
    <col min="4" max="66" width="14" bestFit="1" customWidth="1"/>
    <col min="67" max="67" width="10.5703125" bestFit="1" customWidth="1"/>
    <col min="68" max="70" width="23.7109375" bestFit="1" customWidth="1"/>
    <col min="71" max="71" width="11.85546875" bestFit="1" customWidth="1"/>
    <col min="72" max="72" width="10.5703125" bestFit="1" customWidth="1"/>
    <col min="73" max="73" width="40.140625" bestFit="1" customWidth="1"/>
    <col min="74" max="74" width="18.5703125" bestFit="1" customWidth="1"/>
    <col min="75" max="75" width="11.85546875" bestFit="1" customWidth="1"/>
    <col min="76" max="76" width="10.5703125" bestFit="1" customWidth="1"/>
  </cols>
  <sheetData>
    <row r="3" spans="1:2" x14ac:dyDescent="0.25">
      <c r="A3" s="7" t="s">
        <v>134</v>
      </c>
      <c r="B3" s="8" t="s">
        <v>135</v>
      </c>
    </row>
    <row r="4" spans="1:2" x14ac:dyDescent="0.25">
      <c r="A4" s="9" t="s">
        <v>17</v>
      </c>
      <c r="B4" s="11">
        <v>2</v>
      </c>
    </row>
    <row r="5" spans="1:2" x14ac:dyDescent="0.25">
      <c r="A5" s="9" t="s">
        <v>9</v>
      </c>
      <c r="B5" s="11">
        <v>25</v>
      </c>
    </row>
    <row r="6" spans="1:2" x14ac:dyDescent="0.25">
      <c r="A6" s="9" t="s">
        <v>85</v>
      </c>
      <c r="B6" s="11">
        <v>1</v>
      </c>
    </row>
    <row r="7" spans="1:2" x14ac:dyDescent="0.25">
      <c r="A7" s="9" t="s">
        <v>139</v>
      </c>
      <c r="B7" s="11">
        <v>25</v>
      </c>
    </row>
    <row r="8" spans="1:2" x14ac:dyDescent="0.25">
      <c r="A8" s="9" t="s">
        <v>32</v>
      </c>
      <c r="B8" s="11">
        <v>6</v>
      </c>
    </row>
    <row r="9" spans="1:2" x14ac:dyDescent="0.25">
      <c r="A9" s="9" t="s">
        <v>191</v>
      </c>
      <c r="B9" s="11">
        <v>5</v>
      </c>
    </row>
    <row r="10" spans="1:2" x14ac:dyDescent="0.25">
      <c r="A10" s="9" t="s">
        <v>192</v>
      </c>
      <c r="B10" s="11">
        <v>1</v>
      </c>
    </row>
    <row r="11" spans="1:2" x14ac:dyDescent="0.25">
      <c r="A11" s="10" t="s">
        <v>136</v>
      </c>
      <c r="B11" s="12">
        <v>65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Parceiros</vt:lpstr>
      <vt:lpstr>Contratos</vt:lpstr>
      <vt:lpstr>Cálculos Enviados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Gabriel</cp:lastModifiedBy>
  <dcterms:created xsi:type="dcterms:W3CDTF">2023-05-31T13:07:40Z</dcterms:created>
  <dcterms:modified xsi:type="dcterms:W3CDTF">2024-02-05T19:34:30Z</dcterms:modified>
</cp:coreProperties>
</file>